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" sheetId="1" state="visible" r:id="rId1"/>
    <sheet xmlns:r="http://schemas.openxmlformats.org/officeDocument/2006/relationships" name="尺寸链" sheetId="2" state="visible" r:id="rId2"/>
    <sheet xmlns:r="http://schemas.openxmlformats.org/officeDocument/2006/relationships" name="核实2" sheetId="3" state="visible" r:id="rId3"/>
    <sheet xmlns:r="http://schemas.openxmlformats.org/officeDocument/2006/relationships" name="不采用与说明" sheetId="4" state="visible" r:id="rId4"/>
  </sheets>
  <definedNames>
    <definedName name="_xlnm._FilterDatabase" localSheetId="0" hidden="1">'输入'!$A$1:$E$20</definedName>
    <definedName name="_xlnm._FilterDatabase" localSheetId="1" hidden="1">'尺寸链'!$A$1:$G$1</definedName>
    <definedName name="_xlnm._FilterDatabase" localSheetId="2" hidden="1">'核实2'!$A$1:$G$1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sz val="11"/>
    </font>
    <font>
      <name val="Microsoft YaHei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0B2748"/>
      </patternFill>
    </fill>
    <fill>
      <patternFill patternType="solid">
        <fgColor rgb="00EEF5FF"/>
      </patternFill>
    </fill>
  </fills>
  <borders count="2">
    <border>
      <left/>
      <right/>
      <top/>
      <bottom/>
      <diagonal/>
    </border>
    <border>
      <left style="thin">
        <color rgb="00D7E0EC"/>
      </left>
      <right style="thin">
        <color rgb="00D7E0EC"/>
      </right>
      <top style="thin">
        <color rgb="00D7E0EC"/>
      </top>
      <bottom style="thin">
        <color rgb="00D7E0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42" customWidth="1" min="4" max="4"/>
    <col width="55" customWidth="1" min="5" max="5"/>
  </cols>
  <sheetData>
    <row r="1" ht="22" customHeight="1">
      <c r="A1" s="1" t="inlineStr">
        <is>
          <t>代号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来源</t>
        </is>
      </c>
      <c r="E1" s="1" t="inlineStr">
        <is>
          <t>备注</t>
        </is>
      </c>
    </row>
    <row r="2">
      <c r="A2" s="2" t="inlineStr">
        <is>
          <t>岸</t>
        </is>
      </c>
      <c r="B2" s="3" t="n">
        <v>0.3</v>
      </c>
      <c r="C2" s="4" t="inlineStr">
        <is>
          <t>mm</t>
        </is>
      </c>
      <c r="D2" s="4" t="inlineStr">
        <is>
          <t>2026-09-28 修订</t>
        </is>
      </c>
      <c r="E2" s="4" t="inlineStr">
        <is>
          <t>单侧</t>
        </is>
      </c>
    </row>
    <row r="3">
      <c r="A3" s="2" t="inlineStr">
        <is>
          <t>槽宽</t>
        </is>
      </c>
      <c r="B3" s="3" t="n">
        <v>0.8</v>
      </c>
      <c r="C3" s="4" t="inlineStr">
        <is>
          <t>mm</t>
        </is>
      </c>
      <c r="D3" s="4" t="inlineStr">
        <is>
          <t>修订 / w08h20</t>
        </is>
      </c>
      <c r="E3" s="4" t="inlineStr"/>
    </row>
    <row r="4">
      <c r="A4" s="2" t="inlineStr">
        <is>
          <t>槽深</t>
        </is>
      </c>
      <c r="B4" s="3" t="n">
        <v>2</v>
      </c>
      <c r="C4" s="4" t="inlineStr">
        <is>
          <t>mm</t>
        </is>
      </c>
      <c r="D4" s="4" t="inlineStr">
        <is>
          <t>修订</t>
        </is>
      </c>
      <c r="E4" s="4" t="inlineStr">
        <is>
          <t>深于 GPU 的 1.5</t>
        </is>
      </c>
    </row>
    <row r="5">
      <c r="A5" s="2" t="inlineStr">
        <is>
          <t>肋</t>
        </is>
      </c>
      <c r="B5" s="3" t="n">
        <v>0.8</v>
      </c>
      <c r="C5" s="4" t="inlineStr">
        <is>
          <t>mm</t>
        </is>
      </c>
      <c r="D5" s="4" t="inlineStr">
        <is>
          <t>修订</t>
        </is>
      </c>
      <c r="E5" s="4" t="inlineStr"/>
    </row>
    <row r="6">
      <c r="A6" s="2" t="inlineStr">
        <is>
          <t>条数</t>
        </is>
      </c>
      <c r="B6" s="3" t="n">
        <v>7</v>
      </c>
      <c r="C6" s="4" t="inlineStr">
        <is>
          <t>条</t>
        </is>
      </c>
      <c r="D6" s="4" t="inlineStr">
        <is>
          <t>修订</t>
        </is>
      </c>
      <c r="E6" s="4" t="inlineStr">
        <is>
          <t>每侧</t>
        </is>
      </c>
    </row>
    <row r="7">
      <c r="A7" s="2" t="inlineStr">
        <is>
          <t>偶数条</t>
        </is>
      </c>
      <c r="B7" s="3" t="n">
        <v>4</v>
      </c>
      <c r="C7" s="4" t="inlineStr">
        <is>
          <t>条</t>
        </is>
      </c>
      <c r="D7" s="4" t="inlineStr">
        <is>
          <t>修订</t>
        </is>
      </c>
      <c r="E7" s="4" t="inlineStr"/>
    </row>
    <row r="8">
      <c r="A8" s="2" t="inlineStr">
        <is>
          <t>奇数条</t>
        </is>
      </c>
      <c r="B8" s="3" t="n">
        <v>3</v>
      </c>
      <c r="C8" s="4" t="inlineStr">
        <is>
          <t>条</t>
        </is>
      </c>
      <c r="D8" s="4" t="inlineStr">
        <is>
          <t>修订</t>
        </is>
      </c>
      <c r="E8" s="4" t="inlineStr"/>
    </row>
    <row r="9">
      <c r="A9" s="2" t="inlineStr">
        <is>
          <t>底铜</t>
        </is>
      </c>
      <c r="B9" s="3" t="n">
        <v>2</v>
      </c>
      <c r="C9" s="4" t="inlineStr">
        <is>
          <t>mm</t>
        </is>
      </c>
      <c r="D9" s="4" t="inlineStr">
        <is>
          <t>修订</t>
        </is>
      </c>
      <c r="E9" s="4" t="inlineStr"/>
    </row>
    <row r="10">
      <c r="A10" s="2" t="inlineStr">
        <is>
          <t>上铜板</t>
        </is>
      </c>
      <c r="B10" s="3" t="n">
        <v>4</v>
      </c>
      <c r="C10" s="4" t="inlineStr">
        <is>
          <t>mm</t>
        </is>
      </c>
      <c r="D10" s="4" t="inlineStr">
        <is>
          <t>修订</t>
        </is>
      </c>
      <c r="E10" s="4" t="inlineStr"/>
    </row>
    <row r="11">
      <c r="A11" s="2" t="inlineStr">
        <is>
          <t>竖向口高</t>
        </is>
      </c>
      <c r="B11" s="3" t="n">
        <v>1</v>
      </c>
      <c r="C11" s="4" t="inlineStr">
        <is>
          <t>mm</t>
        </is>
      </c>
      <c r="D11" s="4" t="inlineStr">
        <is>
          <t>修订 z 2–3</t>
        </is>
      </c>
      <c r="E11" s="4" t="inlineStr"/>
    </row>
    <row r="12">
      <c r="A12" s="2" t="inlineStr">
        <is>
          <t>汇流腔高</t>
        </is>
      </c>
      <c r="B12" s="3" t="n">
        <v>3</v>
      </c>
      <c r="C12" s="4" t="inlineStr">
        <is>
          <t>mm</t>
        </is>
      </c>
      <c r="D12" s="4" t="inlineStr">
        <is>
          <t>修订 z 3–6</t>
        </is>
      </c>
      <c r="E12" s="4" t="inlineStr"/>
    </row>
    <row r="13">
      <c r="A13" s="2" t="inlineStr">
        <is>
          <t>堆叠边</t>
        </is>
      </c>
      <c r="B13" s="3" t="n">
        <v>11</v>
      </c>
      <c r="C13" s="4" t="inlineStr">
        <is>
          <t>mm</t>
        </is>
      </c>
      <c r="D13" s="4" t="inlineStr">
        <is>
          <t>§8.1</t>
        </is>
      </c>
      <c r="E13" s="4" t="inlineStr">
        <is>
          <t>11</t>
        </is>
      </c>
    </row>
    <row r="14">
      <c r="A14" s="2" t="inlineStr">
        <is>
          <t>颗数</t>
        </is>
      </c>
      <c r="B14" s="3" t="n">
        <v>4</v>
      </c>
      <c r="C14" s="4" t="inlineStr">
        <is>
          <t>颗</t>
        </is>
      </c>
      <c r="D14" s="4" t="inlineStr">
        <is>
          <t>§8.1</t>
        </is>
      </c>
      <c r="E14" s="4" t="inlineStr">
        <is>
          <t>每列</t>
        </is>
      </c>
    </row>
    <row r="15">
      <c r="A15" s="2" t="inlineStr">
        <is>
          <t>颗间</t>
        </is>
      </c>
      <c r="B15" s="3" t="n">
        <v>2</v>
      </c>
      <c r="C15" s="4" t="inlineStr">
        <is>
          <t>mm</t>
        </is>
      </c>
      <c r="D15" s="4" t="inlineStr">
        <is>
          <t>§8.1 原点差</t>
        </is>
      </c>
      <c r="E15" s="4" t="inlineStr"/>
    </row>
    <row r="16">
      <c r="A16" s="2" t="inlineStr">
        <is>
          <t>板高</t>
        </is>
      </c>
      <c r="B16" s="3" t="n">
        <v>75</v>
      </c>
      <c r="C16" s="4" t="inlineStr">
        <is>
          <t>mm</t>
        </is>
      </c>
      <c r="D16" s="4" t="inlineStr">
        <is>
          <t>§8.1</t>
        </is>
      </c>
      <c r="E16" s="4" t="inlineStr"/>
    </row>
    <row r="17">
      <c r="A17" s="2" t="inlineStr">
        <is>
          <t>列起点Y</t>
        </is>
      </c>
      <c r="B17" s="3" t="n">
        <v>12.5</v>
      </c>
      <c r="C17" s="4" t="inlineStr">
        <is>
          <t>mm</t>
        </is>
      </c>
      <c r="D17" s="4" t="inlineStr">
        <is>
          <t>§8.1</t>
        </is>
      </c>
      <c r="E17" s="4" t="inlineStr"/>
    </row>
    <row r="18">
      <c r="A18" s="2" t="inlineStr">
        <is>
          <t>GPU槽深</t>
        </is>
      </c>
      <c r="B18" s="3" t="n">
        <v>1.5</v>
      </c>
      <c r="C18" s="4" t="inlineStr">
        <is>
          <t>mm</t>
        </is>
      </c>
      <c r="D18" s="4" t="inlineStr">
        <is>
          <t>§6.2</t>
        </is>
      </c>
      <c r="E18" s="4" t="inlineStr">
        <is>
          <t>对照</t>
        </is>
      </c>
    </row>
    <row r="19">
      <c r="A19" s="2" t="inlineStr">
        <is>
          <t>喷距</t>
        </is>
      </c>
      <c r="B19" s="3" t="n">
        <v>2</v>
      </c>
      <c r="C19" s="4" t="inlineStr">
        <is>
          <t>mm</t>
        </is>
      </c>
      <c r="D19" s="4" t="inlineStr">
        <is>
          <t>§6.2</t>
        </is>
      </c>
      <c r="E19" s="4" t="inlineStr">
        <is>
          <t>HBM 加热段不用</t>
        </is>
      </c>
    </row>
    <row r="20">
      <c r="A20" s="2" t="inlineStr">
        <is>
          <t>喷嘴板</t>
        </is>
      </c>
      <c r="B20" s="3" t="n">
        <v>2.5</v>
      </c>
      <c r="C20" s="4" t="inlineStr">
        <is>
          <t>mm</t>
        </is>
      </c>
      <c r="D20" s="4" t="inlineStr">
        <is>
          <t>§6.2</t>
        </is>
      </c>
      <c r="E20" s="4" t="inlineStr">
        <is>
          <t>对照</t>
        </is>
      </c>
    </row>
  </sheetData>
  <autoFilter ref="A1:E20"/>
  <pageMargins left="0.75" right="0.75" top="1" bottom="1" header="0.5" footer="0.5"/>
  <pageSetup orientation="landscape" fitToHeight="0" fitToWidth="1"/>
  <headerFooter>
    <oddHeader>&amp;L输入</oddHeader>
    <oddFooter>&amp;R尺寸核实2 · 公式重算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4" customWidth="1" min="3" max="3"/>
    <col width="14" customWidth="1" min="4" max="4"/>
    <col width="12" customWidth="1" min="5" max="5"/>
    <col width="12" customWidth="1" min="6" max="6"/>
    <col width="45" customWidth="1" min="7" max="7"/>
  </cols>
  <sheetData>
    <row r="1" ht="22" customHeight="1">
      <c r="A1" s="1" t="inlineStr">
        <is>
          <t>链</t>
        </is>
      </c>
      <c r="B1" s="1" t="inlineStr">
        <is>
          <t>算式（公式）</t>
        </is>
      </c>
      <c r="C1" s="1" t="inlineStr">
        <is>
          <t>结果</t>
        </is>
      </c>
      <c r="D1" s="1" t="inlineStr">
        <is>
          <t>期望</t>
        </is>
      </c>
      <c r="E1" s="1" t="inlineStr">
        <is>
          <t>差</t>
        </is>
      </c>
      <c r="F1" s="1" t="inlineStr">
        <is>
          <t>判定</t>
        </is>
      </c>
      <c r="G1" s="1" t="inlineStr">
        <is>
          <t>说明</t>
        </is>
      </c>
    </row>
    <row r="2" ht="32" customHeight="1">
      <c r="A2" s="4" t="inlineStr">
        <is>
          <t>单侧宽</t>
        </is>
      </c>
      <c r="B2" s="5" t="inlineStr">
        <is>
          <t>2×岸+条数×槽宽+(条数-1)×肋</t>
        </is>
      </c>
      <c r="C2" s="6">
        <f>2*输入!B2+输入!B6*输入!B3+(输入!B6-1)*输入!B5</f>
        <v/>
      </c>
      <c r="D2" s="6" t="n">
        <v>11</v>
      </c>
      <c r="E2" s="6">
        <f>C2-D2</f>
        <v/>
      </c>
      <c r="F2" s="2">
        <f>IF(ABS(E2)&lt;0.001,"闭合","不闭合")</f>
        <v/>
      </c>
      <c r="G2" s="4" t="inlineStr"/>
    </row>
    <row r="3" ht="32" customHeight="1">
      <c r="A3" s="4" t="inlineStr">
        <is>
          <t>奇偶条数</t>
        </is>
      </c>
      <c r="B3" s="5" t="inlineStr">
        <is>
          <t>偶数+奇数</t>
        </is>
      </c>
      <c r="C3" s="6">
        <f>输入!B7+输入!B8</f>
        <v/>
      </c>
      <c r="D3" s="6" t="n">
        <v>7</v>
      </c>
      <c r="E3" s="6">
        <f>C3-D3</f>
        <v/>
      </c>
      <c r="F3" s="2">
        <f>IF(ABS(E3)&lt;0.001,"闭合","不闭合")</f>
        <v/>
      </c>
      <c r="G3" s="4" t="inlineStr">
        <is>
          <t>应等于条数</t>
        </is>
      </c>
    </row>
    <row r="4" ht="32" customHeight="1">
      <c r="A4" s="4" t="inlineStr">
        <is>
          <t>条数一致</t>
        </is>
      </c>
      <c r="B4" s="5" t="inlineStr">
        <is>
          <t>偶数+奇数-条数</t>
        </is>
      </c>
      <c r="C4" s="6">
        <f>输入!B7+输入!B8-输入!B6</f>
        <v/>
      </c>
      <c r="D4" s="6" t="n">
        <v>0</v>
      </c>
      <c r="E4" s="6">
        <f>C4-D4</f>
        <v/>
      </c>
      <c r="F4" s="2">
        <f>IF(ABS(E4)&lt;0.001,"闭合","不闭合")</f>
        <v/>
      </c>
      <c r="G4" s="4" t="inlineStr">
        <is>
          <t>差为 0 即一致</t>
        </is>
      </c>
    </row>
    <row r="5" ht="32" customHeight="1">
      <c r="A5" s="4" t="inlineStr">
        <is>
          <t>列长</t>
        </is>
      </c>
      <c r="B5" s="5" t="inlineStr">
        <is>
          <t>颗数×堆叠边+(颗数-1)×颗间</t>
        </is>
      </c>
      <c r="C5" s="6">
        <f>输入!B14*输入!B13+(输入!B14-1)*输入!B15</f>
        <v/>
      </c>
      <c r="D5" s="6" t="n">
        <v>50</v>
      </c>
      <c r="E5" s="6">
        <f>C5-D5</f>
        <v/>
      </c>
      <c r="F5" s="2">
        <f>IF(ABS(E5)&lt;0.001,"闭合","不闭合")</f>
        <v/>
      </c>
      <c r="G5" s="4" t="inlineStr"/>
    </row>
    <row r="6" ht="32" customHeight="1">
      <c r="A6" s="4" t="inlineStr">
        <is>
          <t>板高</t>
        </is>
      </c>
      <c r="B6" s="5" t="inlineStr">
        <is>
          <t>列起点+列长+列起点</t>
        </is>
      </c>
      <c r="C6" s="6">
        <f>输入!B17+输入!B14*输入!B13+(输入!B14-1)*输入!B15+输入!B17</f>
        <v/>
      </c>
      <c r="D6" s="6" t="n">
        <v>75</v>
      </c>
      <c r="E6" s="6">
        <f>C6-D6</f>
        <v/>
      </c>
      <c r="F6" s="2">
        <f>IF(ABS(E6)&lt;0.001,"闭合","不闭合")</f>
        <v/>
      </c>
      <c r="G6" s="4" t="inlineStr">
        <is>
          <t>上下余量都取列起点 12.5</t>
        </is>
      </c>
    </row>
    <row r="7" ht="32" customHeight="1">
      <c r="A7" s="4" t="inlineStr">
        <is>
          <t>加热段厚</t>
        </is>
      </c>
      <c r="B7" s="5" t="inlineStr">
        <is>
          <t>底铜+槽深+上铜板</t>
        </is>
      </c>
      <c r="C7" s="6">
        <f>输入!B9+输入!B4+输入!B10</f>
        <v/>
      </c>
      <c r="D7" s="6" t="n">
        <v>8</v>
      </c>
      <c r="E7" s="6">
        <f>C7-D7</f>
        <v/>
      </c>
      <c r="F7" s="2">
        <f>IF(ABS(E7)&lt;0.001,"闭合","不闭合")</f>
        <v/>
      </c>
      <c r="G7" s="4" t="inlineStr"/>
    </row>
    <row r="8" ht="32" customHeight="1">
      <c r="A8" s="4" t="inlineStr">
        <is>
          <t>上板拆分</t>
        </is>
      </c>
      <c r="B8" s="5" t="inlineStr">
        <is>
          <t>竖向口+汇流腔</t>
        </is>
      </c>
      <c r="C8" s="6">
        <f>输入!B11+输入!B12</f>
        <v/>
      </c>
      <c r="D8" s="6" t="n">
        <v>4</v>
      </c>
      <c r="E8" s="6">
        <f>C8-D8</f>
        <v/>
      </c>
      <c r="F8" s="2">
        <f>IF(ABS(E8)&lt;0.001,"闭合","不闭合")</f>
        <v/>
      </c>
      <c r="G8" s="4" t="inlineStr">
        <is>
          <t>应等于上铜板</t>
        </is>
      </c>
    </row>
    <row r="9" ht="32" customHeight="1">
      <c r="A9" s="4" t="inlineStr">
        <is>
          <t>上板差</t>
        </is>
      </c>
      <c r="B9" s="5" t="inlineStr">
        <is>
          <t>竖向口+汇流腔-上铜板</t>
        </is>
      </c>
      <c r="C9" s="6">
        <f>输入!B11+输入!B12-输入!B10</f>
        <v/>
      </c>
      <c r="D9" s="6" t="n">
        <v>0</v>
      </c>
      <c r="E9" s="6">
        <f>C9-D9</f>
        <v/>
      </c>
      <c r="F9" s="2">
        <f>IF(ABS(E9)&lt;0.001,"闭合","不闭合")</f>
        <v/>
      </c>
      <c r="G9" s="4" t="inlineStr"/>
    </row>
    <row r="10" ht="32" customHeight="1">
      <c r="A10" s="4" t="inlineStr">
        <is>
          <t>GPU腔体对照</t>
        </is>
      </c>
      <c r="B10" s="5" t="inlineStr">
        <is>
          <t>底铜+GPU槽深+喷距+喷嘴板</t>
        </is>
      </c>
      <c r="C10" s="6">
        <f>输入!B9+输入!B18+输入!B19+输入!B20</f>
        <v/>
      </c>
      <c r="D10" s="6" t="n">
        <v>8</v>
      </c>
      <c r="E10" s="6">
        <f>C10-D10</f>
        <v/>
      </c>
      <c r="F10" s="2">
        <f>IF(ABS(E10)&lt;0.001,"闭合","不闭合")</f>
        <v/>
      </c>
      <c r="G10" s="4" t="inlineStr">
        <is>
          <t>总数同为 8，槽深不同</t>
        </is>
      </c>
    </row>
    <row r="11" ht="32" customHeight="1">
      <c r="A11" s="4" t="inlineStr">
        <is>
          <t>槽深差</t>
        </is>
      </c>
      <c r="B11" s="5" t="inlineStr">
        <is>
          <t>HBM槽深-GPU槽深</t>
        </is>
      </c>
      <c r="C11" s="6">
        <f>输入!B4-输入!B18</f>
        <v/>
      </c>
      <c r="D11" s="6" t="n">
        <v>0.5</v>
      </c>
      <c r="E11" s="6">
        <f>C11-D11</f>
        <v/>
      </c>
      <c r="F11" s="2">
        <f>IF(ABS(E11)&lt;0.001,"闭合","不闭合")</f>
        <v/>
      </c>
      <c r="G11" s="4" t="inlineStr">
        <is>
          <t>必须分区铣。期望 0.5 表示差被明确算出来</t>
        </is>
      </c>
    </row>
  </sheetData>
  <autoFilter ref="A1:G1"/>
  <pageMargins left="0.75" right="0.75" top="1" bottom="1" header="0.5" footer="0.5"/>
  <pageSetup orientation="landscape" fitToHeight="0" fitToWidth="1"/>
  <headerFooter>
    <oddHeader>&amp;L尺寸链</oddHeader>
    <oddFooter>&amp;R尺寸核实2 · 公式重算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40" customWidth="1" min="7" max="7"/>
  </cols>
  <sheetData>
    <row r="1" ht="22" customHeight="1">
      <c r="A1" s="1" t="inlineStr">
        <is>
          <t>站</t>
        </is>
      </c>
      <c r="B1" s="1" t="inlineStr">
        <is>
          <t>增量</t>
        </is>
      </c>
      <c r="C1" s="1" t="inlineStr">
        <is>
          <t>累计</t>
        </is>
      </c>
      <c r="D1" s="1" t="inlineStr">
        <is>
          <t>图纸坐标</t>
        </is>
      </c>
      <c r="E1" s="1" t="inlineStr">
        <is>
          <t>差</t>
        </is>
      </c>
      <c r="F1" s="1" t="inlineStr">
        <is>
          <t>判定</t>
        </is>
      </c>
      <c r="G1" s="1" t="inlineStr">
        <is>
          <t>说明</t>
        </is>
      </c>
    </row>
    <row r="2">
      <c r="A2" s="4" t="inlineStr">
        <is>
          <t>列底</t>
        </is>
      </c>
      <c r="B2" s="6" t="n">
        <v>0</v>
      </c>
      <c r="C2" s="6">
        <f>B2</f>
        <v/>
      </c>
      <c r="D2" s="6" t="n">
        <v>0</v>
      </c>
      <c r="E2" s="6">
        <f>C2-D2</f>
        <v/>
      </c>
      <c r="F2" s="2">
        <f>IF(ABS(E2)&lt;0.001,"一致","偏差")</f>
        <v/>
      </c>
      <c r="G2" s="4" t="inlineStr">
        <is>
          <t>列内 0，板上 Y=12.5</t>
        </is>
      </c>
    </row>
    <row r="3">
      <c r="A3" s="4" t="inlineStr">
        <is>
          <t>第1颗顶</t>
        </is>
      </c>
      <c r="B3" s="6">
        <f>输入!B13</f>
        <v/>
      </c>
      <c r="C3" s="6">
        <f>C2+B3</f>
        <v/>
      </c>
      <c r="D3" s="6" t="n">
        <v>11</v>
      </c>
      <c r="E3" s="6">
        <f>C3-D3</f>
        <v/>
      </c>
      <c r="F3" s="2">
        <f>IF(ABS(E3)&lt;0.001,"一致","偏差")</f>
        <v/>
      </c>
      <c r="G3" s="4" t="inlineStr">
        <is>
          <t>板上 23.5</t>
        </is>
      </c>
    </row>
    <row r="4">
      <c r="A4" s="4" t="inlineStr">
        <is>
          <t>第2颗底</t>
        </is>
      </c>
      <c r="B4" s="6">
        <f>输入!B15</f>
        <v/>
      </c>
      <c r="C4" s="6">
        <f>C3+B4</f>
        <v/>
      </c>
      <c r="D4" s="6" t="n">
        <v>13</v>
      </c>
      <c r="E4" s="6">
        <f>C4-D4</f>
        <v/>
      </c>
      <c r="F4" s="2">
        <f>IF(ABS(E4)&lt;0.001,"一致","偏差")</f>
        <v/>
      </c>
      <c r="G4" s="4" t="inlineStr">
        <is>
          <t>板上 25.5</t>
        </is>
      </c>
    </row>
    <row r="5">
      <c r="A5" s="4" t="inlineStr">
        <is>
          <t>第2颗顶</t>
        </is>
      </c>
      <c r="B5" s="6">
        <f>输入!B13</f>
        <v/>
      </c>
      <c r="C5" s="6">
        <f>C4+B5</f>
        <v/>
      </c>
      <c r="D5" s="6" t="n">
        <v>24</v>
      </c>
      <c r="E5" s="6">
        <f>C5-D5</f>
        <v/>
      </c>
      <c r="F5" s="2">
        <f>IF(ABS(E5)&lt;0.001,"一致","偏差")</f>
        <v/>
      </c>
      <c r="G5" s="4" t="inlineStr">
        <is>
          <t>板上 36.5</t>
        </is>
      </c>
    </row>
    <row r="6">
      <c r="A6" s="4" t="inlineStr">
        <is>
          <t>第3颗底</t>
        </is>
      </c>
      <c r="B6" s="6">
        <f>输入!B15</f>
        <v/>
      </c>
      <c r="C6" s="6">
        <f>C5+B6</f>
        <v/>
      </c>
      <c r="D6" s="6" t="n">
        <v>26</v>
      </c>
      <c r="E6" s="6">
        <f>C6-D6</f>
        <v/>
      </c>
      <c r="F6" s="2">
        <f>IF(ABS(E6)&lt;0.001,"一致","偏差")</f>
        <v/>
      </c>
      <c r="G6" s="4" t="inlineStr">
        <is>
          <t>板上 38.5</t>
        </is>
      </c>
    </row>
    <row r="7">
      <c r="A7" s="4" t="inlineStr">
        <is>
          <t>第3颗顶</t>
        </is>
      </c>
      <c r="B7" s="6">
        <f>输入!B13</f>
        <v/>
      </c>
      <c r="C7" s="6">
        <f>C6+B7</f>
        <v/>
      </c>
      <c r="D7" s="6" t="n">
        <v>37</v>
      </c>
      <c r="E7" s="6">
        <f>C7-D7</f>
        <v/>
      </c>
      <c r="F7" s="2">
        <f>IF(ABS(E7)&lt;0.001,"一致","偏差")</f>
        <v/>
      </c>
      <c r="G7" s="4" t="inlineStr">
        <is>
          <t>板上 49.5</t>
        </is>
      </c>
    </row>
    <row r="8">
      <c r="A8" s="4" t="inlineStr">
        <is>
          <t>第4颗底</t>
        </is>
      </c>
      <c r="B8" s="6">
        <f>输入!B15</f>
        <v/>
      </c>
      <c r="C8" s="6">
        <f>C7+B8</f>
        <v/>
      </c>
      <c r="D8" s="6" t="n">
        <v>39</v>
      </c>
      <c r="E8" s="6">
        <f>C8-D8</f>
        <v/>
      </c>
      <c r="F8" s="2">
        <f>IF(ABS(E8)&lt;0.001,"一致","偏差")</f>
        <v/>
      </c>
      <c r="G8" s="4" t="inlineStr">
        <is>
          <t>板上 51.5</t>
        </is>
      </c>
    </row>
    <row r="9">
      <c r="A9" s="4" t="inlineStr">
        <is>
          <t>第4颗顶 / 列长</t>
        </is>
      </c>
      <c r="B9" s="6">
        <f>输入!B13</f>
        <v/>
      </c>
      <c r="C9" s="6">
        <f>C8+B9</f>
        <v/>
      </c>
      <c r="D9" s="6" t="n">
        <v>50</v>
      </c>
      <c r="E9" s="6">
        <f>C9-D9</f>
        <v/>
      </c>
      <c r="F9" s="2">
        <f>IF(ABS(E9)&lt;0.001,"一致","偏差")</f>
        <v/>
      </c>
      <c r="G9" s="4" t="inlineStr">
        <is>
          <t>板上 62.5，列长 50</t>
        </is>
      </c>
    </row>
  </sheetData>
  <autoFilter ref="A1:G1"/>
  <pageMargins left="0.75" right="0.75" top="1" bottom="1" header="0.5" footer="0.5"/>
  <pageSetup orientation="landscape" fitToHeight="0" fitToWidth="1"/>
  <headerFooter>
    <oddHeader>&amp;L核实2</oddHeader>
    <oddFooter>&amp;R尺寸核实2 · 公式重算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6" customHeight="1">
      <c r="A1" s="7" t="inlineStr">
        <is>
          <t>现行截面：0.80 × 2.00，肋 0.80，每侧 7 条，岸 0.30。来自 B300 报告文首 2026-09-28 修订和 HBM_w08h20 网格。</t>
        </is>
      </c>
    </row>
    <row r="2" ht="36" customHeight="1">
      <c r="A2" s="7" t="inlineStr">
        <is>
          <t>不采用：正文旧值 0.60 × 1.50、节距 1.30、每侧 8 条、岸 0.65。该组加总也是 11 mm，但不是现行加工尺寸。</t>
        </is>
      </c>
    </row>
    <row r="3" ht="36" customHeight="1">
      <c r="A3" s="7" t="inlineStr">
        <is>
          <t>槽深差一行的期望是 0.5 mm。判定为闭合表示差被算成 0.5，不是表示两区槽深相同。</t>
        </is>
      </c>
    </row>
    <row r="4" ht="36" customHeight="1">
      <c r="A4" s="7" t="inlineStr">
        <is>
          <t>条数一致、上板差两行的期望是 0。</t>
        </is>
      </c>
    </row>
    <row r="5" ht="36" customHeight="1">
      <c r="A5" s="7" t="inlineStr">
        <is>
          <t>堆叠 X、Y 仍是候选坐标，公差未给，本表只核名义值。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2026-09-29T00:11:04Z</dcterms:created>
  <dcterms:modified xmlns:dcterms="http://purl.org/dc/terms/" xmlns:xsi="http://www.w3.org/2001/XMLSchema-instance" xsi:type="dcterms:W3CDTF">2026-09-29T00:11:04Z</dcterms:modified>
</cp:coreProperties>
</file>