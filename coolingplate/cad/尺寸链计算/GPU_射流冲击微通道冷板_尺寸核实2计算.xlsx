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" sheetId="1" state="visible" r:id="rId1"/>
    <sheet xmlns:r="http://schemas.openxmlformats.org/officeDocument/2006/relationships" name="尺寸链" sheetId="2" state="visible" r:id="rId2"/>
    <sheet xmlns:r="http://schemas.openxmlformats.org/officeDocument/2006/relationships" name="核实2" sheetId="3" state="visible" r:id="rId3"/>
    <sheet xmlns:r="http://schemas.openxmlformats.org/officeDocument/2006/relationships" name="不采用与说明" sheetId="4" state="visible" r:id="rId4"/>
  </sheets>
  <definedNames>
    <definedName name="_xlnm._FilterDatabase" localSheetId="0" hidden="1">'输入'!$A$1:$E$27</definedName>
    <definedName name="_xlnm._FilterDatabase" localSheetId="1" hidden="1">'尺寸链'!$A$1:$G$1</definedName>
    <definedName name="_xlnm._FilterDatabase" localSheetId="2" hidden="1">'核实2'!$A$1:$G$1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0B2748"/>
      </patternFill>
    </fill>
    <fill>
      <patternFill patternType="solid">
        <fgColor rgb="00EEF5FF"/>
      </patternFill>
    </fill>
  </fills>
  <borders count="2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42" customWidth="1" min="4" max="4"/>
    <col width="55" customWidth="1" min="5" max="5"/>
  </cols>
  <sheetData>
    <row r="1" ht="22" customHeight="1">
      <c r="A1" s="1" t="inlineStr">
        <is>
          <t>代号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来源</t>
        </is>
      </c>
      <c r="E1" s="1" t="inlineStr">
        <is>
          <t>备注</t>
        </is>
      </c>
    </row>
    <row r="2">
      <c r="A2" s="2" t="inlineStr">
        <is>
          <t>边距X</t>
        </is>
      </c>
      <c r="B2" s="3" t="n">
        <v>5</v>
      </c>
      <c r="C2" s="4" t="inlineStr">
        <is>
          <t>mm</t>
        </is>
      </c>
      <c r="D2" s="4" t="inlineStr">
        <is>
          <t>§8.1 X 向链首项</t>
        </is>
      </c>
      <c r="E2" s="4" t="inlineStr">
        <is>
          <t>左右对称</t>
        </is>
      </c>
    </row>
    <row r="3">
      <c r="A3" s="2" t="inlineStr">
        <is>
          <t>HBM宽</t>
        </is>
      </c>
      <c r="B3" s="3" t="n">
        <v>11</v>
      </c>
      <c r="C3" s="4" t="inlineStr">
        <is>
          <t>mm</t>
        </is>
      </c>
      <c r="D3" s="4" t="inlineStr">
        <is>
          <t>§8.1</t>
        </is>
      </c>
      <c r="E3" s="4" t="inlineStr"/>
    </row>
    <row r="4">
      <c r="A4" s="2" t="inlineStr">
        <is>
          <t>肋缝</t>
        </is>
      </c>
      <c r="B4" s="3" t="n">
        <v>0.5</v>
      </c>
      <c r="C4" s="4" t="inlineStr">
        <is>
          <t>mm</t>
        </is>
      </c>
      <c r="D4" s="4" t="inlineStr">
        <is>
          <t>§8.1</t>
        </is>
      </c>
      <c r="E4" s="4" t="inlineStr">
        <is>
          <t>肋与 HBM、肋与 die</t>
        </is>
      </c>
    </row>
    <row r="5">
      <c r="A5" s="2" t="inlineStr">
        <is>
          <t>隔离肋宽</t>
        </is>
      </c>
      <c r="B5" s="3" t="n">
        <v>2</v>
      </c>
      <c r="C5" s="4" t="inlineStr">
        <is>
          <t>mm</t>
        </is>
      </c>
      <c r="D5" s="4" t="inlineStr">
        <is>
          <t>§8.1</t>
        </is>
      </c>
      <c r="E5" s="4" t="inlineStr"/>
    </row>
    <row r="6">
      <c r="A6" s="2" t="inlineStr">
        <is>
          <t>die宽</t>
        </is>
      </c>
      <c r="B6" s="3" t="n">
        <v>27</v>
      </c>
      <c r="C6" s="4" t="inlineStr">
        <is>
          <t>mm</t>
        </is>
      </c>
      <c r="D6" s="4" t="inlineStr">
        <is>
          <t>§8.1</t>
        </is>
      </c>
      <c r="E6" s="4" t="inlineStr"/>
    </row>
    <row r="7">
      <c r="A7" s="2" t="inlineStr">
        <is>
          <t>die高</t>
        </is>
      </c>
      <c r="B7" s="3" t="n">
        <v>28</v>
      </c>
      <c r="C7" s="4" t="inlineStr">
        <is>
          <t>mm</t>
        </is>
      </c>
      <c r="D7" s="4" t="inlineStr">
        <is>
          <t>§8.1</t>
        </is>
      </c>
      <c r="E7" s="4" t="inlineStr"/>
    </row>
    <row r="8">
      <c r="A8" s="2" t="inlineStr">
        <is>
          <t>HBI</t>
        </is>
      </c>
      <c r="B8" s="3" t="n">
        <v>3</v>
      </c>
      <c r="C8" s="4" t="inlineStr">
        <is>
          <t>mm</t>
        </is>
      </c>
      <c r="D8" s="4" t="inlineStr">
        <is>
          <t>§8.1</t>
        </is>
      </c>
      <c r="E8" s="4" t="inlineStr"/>
    </row>
    <row r="9">
      <c r="A9" s="2" t="inlineStr">
        <is>
          <t>余铜</t>
        </is>
      </c>
      <c r="B9" s="3" t="n">
        <v>2</v>
      </c>
      <c r="C9" s="4" t="inlineStr">
        <is>
          <t>mm</t>
        </is>
      </c>
      <c r="D9" s="4" t="inlineStr">
        <is>
          <t>§6.2</t>
        </is>
      </c>
      <c r="E9" s="4" t="inlineStr"/>
    </row>
    <row r="10">
      <c r="A10" s="2" t="inlineStr">
        <is>
          <t>槽深</t>
        </is>
      </c>
      <c r="B10" s="3" t="n">
        <v>1.5</v>
      </c>
      <c r="C10" s="4" t="inlineStr">
        <is>
          <t>mm</t>
        </is>
      </c>
      <c r="D10" s="4" t="inlineStr">
        <is>
          <t>§6.2</t>
        </is>
      </c>
      <c r="E10" s="4" t="inlineStr">
        <is>
          <t>仅 GPU 区</t>
        </is>
      </c>
    </row>
    <row r="11">
      <c r="A11" s="2" t="inlineStr">
        <is>
          <t>喷距H</t>
        </is>
      </c>
      <c r="B11" s="3" t="n">
        <v>2</v>
      </c>
      <c r="C11" s="4" t="inlineStr">
        <is>
          <t>mm</t>
        </is>
      </c>
      <c r="D11" s="4" t="inlineStr">
        <is>
          <t>§6.2</t>
        </is>
      </c>
      <c r="E11" s="4" t="inlineStr">
        <is>
          <t>公差 ±0.10 不写进本格</t>
        </is>
      </c>
    </row>
    <row r="12">
      <c r="A12" s="2" t="inlineStr">
        <is>
          <t>喷嘴板厚</t>
        </is>
      </c>
      <c r="B12" s="3" t="n">
        <v>2.5</v>
      </c>
      <c r="C12" s="4" t="inlineStr">
        <is>
          <t>mm</t>
        </is>
      </c>
      <c r="D12" s="4" t="inlineStr">
        <is>
          <t>§6.2</t>
        </is>
      </c>
      <c r="E12" s="4" t="inlineStr"/>
    </row>
    <row r="13">
      <c r="A13" s="2" t="inlineStr">
        <is>
          <t>钎缝</t>
        </is>
      </c>
      <c r="B13" s="3" t="n">
        <v>0.5</v>
      </c>
      <c r="C13" s="4" t="inlineStr">
        <is>
          <t>mm</t>
        </is>
      </c>
      <c r="D13" s="4" t="inlineStr">
        <is>
          <t>§6.2</t>
        </is>
      </c>
      <c r="E13" s="4" t="inlineStr"/>
    </row>
    <row r="14">
      <c r="A14" s="2" t="inlineStr">
        <is>
          <t>孔数X</t>
        </is>
      </c>
      <c r="B14" s="3" t="n">
        <v>9</v>
      </c>
      <c r="C14" s="4" t="inlineStr">
        <is>
          <t>个</t>
        </is>
      </c>
      <c r="D14" s="4" t="inlineStr">
        <is>
          <t>§8.1</t>
        </is>
      </c>
      <c r="E14" s="4" t="inlineStr">
        <is>
          <t>每 die</t>
        </is>
      </c>
    </row>
    <row r="15">
      <c r="A15" s="2" t="inlineStr">
        <is>
          <t>孔数Y</t>
        </is>
      </c>
      <c r="B15" s="3" t="n">
        <v>12</v>
      </c>
      <c r="C15" s="4" t="inlineStr">
        <is>
          <t>个</t>
        </is>
      </c>
      <c r="D15" s="4" t="inlineStr">
        <is>
          <t>§8.1</t>
        </is>
      </c>
      <c r="E15" s="4" t="inlineStr">
        <is>
          <t>每 die</t>
        </is>
      </c>
    </row>
    <row r="16">
      <c r="A16" s="2" t="inlineStr">
        <is>
          <t>节距X</t>
        </is>
      </c>
      <c r="B16" s="3" t="n">
        <v>3</v>
      </c>
      <c r="C16" s="4" t="inlineStr">
        <is>
          <t>mm</t>
        </is>
      </c>
      <c r="D16" s="4" t="inlineStr">
        <is>
          <t>§8.1</t>
        </is>
      </c>
      <c r="E16" s="4" t="inlineStr"/>
    </row>
    <row r="17">
      <c r="A17" s="2" t="inlineStr">
        <is>
          <t>节距Y</t>
        </is>
      </c>
      <c r="B17" s="3" t="n">
        <v>2.4</v>
      </c>
      <c r="C17" s="4" t="inlineStr">
        <is>
          <t>mm</t>
        </is>
      </c>
      <c r="D17" s="4" t="inlineStr">
        <is>
          <t>§8.1</t>
        </is>
      </c>
      <c r="E17" s="4" t="inlineStr"/>
    </row>
    <row r="18">
      <c r="A18" s="2" t="inlineStr">
        <is>
          <t>孔径</t>
        </is>
      </c>
      <c r="B18" s="3" t="n">
        <v>0.5</v>
      </c>
      <c r="C18" s="4" t="inlineStr">
        <is>
          <t>mm</t>
        </is>
      </c>
      <c r="D18" s="4" t="inlineStr">
        <is>
          <t>§5.4 / §6.5</t>
        </is>
      </c>
      <c r="E18" s="4" t="inlineStr">
        <is>
          <t>图纸基准，不是 UC01b 的 0.40</t>
        </is>
      </c>
    </row>
    <row r="19">
      <c r="A19" s="2" t="inlineStr">
        <is>
          <t>槽宽</t>
        </is>
      </c>
      <c r="B19" s="3" t="n">
        <v>0.4</v>
      </c>
      <c r="C19" s="4" t="inlineStr">
        <is>
          <t>mm</t>
        </is>
      </c>
      <c r="D19" s="4" t="inlineStr">
        <is>
          <t>§5.2</t>
        </is>
      </c>
      <c r="E19" s="4" t="inlineStr"/>
    </row>
    <row r="20">
      <c r="A20" s="2" t="inlineStr">
        <is>
          <t>槽节距</t>
        </is>
      </c>
      <c r="B20" s="3" t="n">
        <v>0.8</v>
      </c>
      <c r="C20" s="4" t="inlineStr">
        <is>
          <t>mm</t>
        </is>
      </c>
      <c r="D20" s="4" t="inlineStr">
        <is>
          <t>§5.2</t>
        </is>
      </c>
      <c r="E20" s="4" t="inlineStr"/>
    </row>
    <row r="21">
      <c r="A21" s="2" t="inlineStr">
        <is>
          <t>槽数</t>
        </is>
      </c>
      <c r="B21" s="3" t="n">
        <v>35</v>
      </c>
      <c r="C21" s="4" t="inlineStr">
        <is>
          <t>条</t>
        </is>
      </c>
      <c r="D21" s="4" t="inlineStr">
        <is>
          <t>§8.1</t>
        </is>
      </c>
      <c r="E21" s="4" t="inlineStr">
        <is>
          <t>每 die</t>
        </is>
      </c>
    </row>
    <row r="22">
      <c r="A22" s="2" t="inlineStr">
        <is>
          <t>对位公差</t>
        </is>
      </c>
      <c r="B22" s="3" t="n">
        <v>0.2</v>
      </c>
      <c r="C22" s="4" t="inlineStr">
        <is>
          <t>mm</t>
        </is>
      </c>
      <c r="D22" s="4" t="inlineStr">
        <is>
          <t>§6.5</t>
        </is>
      </c>
      <c r="E22" s="4" t="inlineStr">
        <is>
          <t>±</t>
        </is>
      </c>
    </row>
    <row r="23">
      <c r="A23" s="2" t="inlineStr">
        <is>
          <t>槽宽公差</t>
        </is>
      </c>
      <c r="B23" s="3" t="n">
        <v>0.03</v>
      </c>
      <c r="C23" s="4" t="inlineStr">
        <is>
          <t>mm</t>
        </is>
      </c>
      <c r="D23" s="4" t="inlineStr">
        <is>
          <t>§6.5</t>
        </is>
      </c>
      <c r="E23" s="4" t="inlineStr">
        <is>
          <t>±</t>
        </is>
      </c>
    </row>
    <row r="24">
      <c r="A24" s="2" t="inlineStr">
        <is>
          <t>孔径上偏差</t>
        </is>
      </c>
      <c r="B24" s="3" t="n">
        <v>0.03</v>
      </c>
      <c r="C24" s="4" t="inlineStr">
        <is>
          <t>mm</t>
        </is>
      </c>
      <c r="D24" s="4" t="inlineStr">
        <is>
          <t>§6.5</t>
        </is>
      </c>
      <c r="E24" s="4" t="inlineStr">
        <is>
          <t>下偏差 0</t>
        </is>
      </c>
    </row>
    <row r="25">
      <c r="A25" s="2" t="inlineStr">
        <is>
          <t>H公差</t>
        </is>
      </c>
      <c r="B25" s="3" t="n">
        <v>0.1</v>
      </c>
      <c r="C25" s="4" t="inlineStr">
        <is>
          <t>mm</t>
        </is>
      </c>
      <c r="D25" s="4" t="inlineStr">
        <is>
          <t>§6.5</t>
        </is>
      </c>
      <c r="E25" s="4" t="inlineStr">
        <is>
          <t>±</t>
        </is>
      </c>
    </row>
    <row r="26">
      <c r="A26" s="2" t="inlineStr">
        <is>
          <t>列长</t>
        </is>
      </c>
      <c r="B26" s="3" t="n">
        <v>50</v>
      </c>
      <c r="C26" s="4" t="inlineStr">
        <is>
          <t>mm</t>
        </is>
      </c>
      <c r="D26" s="4" t="inlineStr">
        <is>
          <t>§8.1</t>
        </is>
      </c>
      <c r="E26" s="4" t="inlineStr">
        <is>
          <t>Y 向链用</t>
        </is>
      </c>
    </row>
    <row r="27">
      <c r="A27" s="2" t="inlineStr">
        <is>
          <t>下边</t>
        </is>
      </c>
      <c r="B27" s="3" t="n">
        <v>12.5</v>
      </c>
      <c r="C27" s="4" t="inlineStr">
        <is>
          <t>mm</t>
        </is>
      </c>
      <c r="D27" s="4" t="inlineStr">
        <is>
          <t>§8.1</t>
        </is>
      </c>
      <c r="E27" s="4" t="inlineStr">
        <is>
          <t>HBM 列起点，也是 Y 向链的下余量</t>
        </is>
      </c>
    </row>
  </sheetData>
  <autoFilter ref="A1:E27"/>
  <pageMargins left="0.75" right="0.75" top="1" bottom="1" header="0.5" footer="0.5"/>
  <pageSetup orientation="landscape" fitToHeight="0" fitToWidth="1"/>
  <headerFooter>
    <oddHeader>&amp;L输入</oddHeader>
    <oddFooter>&amp;R尺寸核实2 · 公式重算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  <col width="14" customWidth="1" min="4" max="4"/>
    <col width="12" customWidth="1" min="5" max="5"/>
    <col width="12" customWidth="1" min="6" max="6"/>
    <col width="45" customWidth="1" min="7" max="7"/>
  </cols>
  <sheetData>
    <row r="1" ht="22" customHeight="1">
      <c r="A1" s="1" t="inlineStr">
        <is>
          <t>链</t>
        </is>
      </c>
      <c r="B1" s="1" t="inlineStr">
        <is>
          <t>算式（公式）</t>
        </is>
      </c>
      <c r="C1" s="1" t="inlineStr">
        <is>
          <t>结果</t>
        </is>
      </c>
      <c r="D1" s="1" t="inlineStr">
        <is>
          <t>期望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 ht="32" customHeight="1">
      <c r="A2" s="4" t="inlineStr">
        <is>
          <t>X向整板</t>
        </is>
      </c>
      <c r="B2" s="5" t="inlineStr">
        <is>
          <t>边+HBM+缝+肋+缝+die+HBI+die+缝+肋+缝+HBM+边</t>
        </is>
      </c>
      <c r="C2" s="6">
        <f>输入!B2+输入!B3+输入!B4+输入!B5+输入!B4+输入!B6+输入!B8+输入!B6+输入!B4+输入!B5+输入!B4+输入!B3+输入!B2</f>
        <v/>
      </c>
      <c r="D2" s="6" t="n">
        <v>95</v>
      </c>
      <c r="E2" s="6">
        <f>C2-D2</f>
        <v/>
      </c>
      <c r="F2" s="2">
        <f>IF(ABS(E2)&lt;0.001,"闭合","不闭合")</f>
        <v/>
      </c>
      <c r="G2" s="4" t="inlineStr">
        <is>
          <t>期望 95</t>
        </is>
      </c>
    </row>
    <row r="3" ht="32" customHeight="1">
      <c r="A3" s="4" t="inlineStr">
        <is>
          <t>Y向</t>
        </is>
      </c>
      <c r="B3" s="5" t="inlineStr">
        <is>
          <t>下边+列长+下边</t>
        </is>
      </c>
      <c r="C3" s="6">
        <f>输入!B27+输入!B26+输入!B27</f>
        <v/>
      </c>
      <c r="D3" s="6" t="n">
        <v>75</v>
      </c>
      <c r="E3" s="6">
        <f>C3-D3</f>
        <v/>
      </c>
      <c r="F3" s="2">
        <f>IF(ABS(E3)&lt;0.001,"闭合","不闭合")</f>
        <v/>
      </c>
      <c r="G3" s="4" t="inlineStr">
        <is>
          <t>上下余量相等</t>
        </is>
      </c>
    </row>
    <row r="4" ht="32" customHeight="1">
      <c r="A4" s="4" t="inlineStr">
        <is>
          <t>腔体</t>
        </is>
      </c>
      <c r="B4" s="5" t="inlineStr">
        <is>
          <t>余铜+槽深+H+喷嘴板</t>
        </is>
      </c>
      <c r="C4" s="6">
        <f>输入!B9+输入!B10+输入!B11+输入!B12</f>
        <v/>
      </c>
      <c r="D4" s="6" t="n">
        <v>8</v>
      </c>
      <c r="E4" s="6">
        <f>C4-D4</f>
        <v/>
      </c>
      <c r="F4" s="2">
        <f>IF(ABS(E4)&lt;0.001,"闭合","不闭合")</f>
        <v/>
      </c>
      <c r="G4" s="4" t="inlineStr"/>
    </row>
    <row r="5" ht="32" customHeight="1">
      <c r="A5" s="4" t="inlineStr">
        <is>
          <t>外形总厚</t>
        </is>
      </c>
      <c r="B5" s="5" t="inlineStr">
        <is>
          <t>腔体+钎缝</t>
        </is>
      </c>
      <c r="C5" s="6">
        <f>输入!B9+输入!B10+输入!B11+输入!B12+输入!B13</f>
        <v/>
      </c>
      <c r="D5" s="6" t="n">
        <v>8.5</v>
      </c>
      <c r="E5" s="6">
        <f>C5-D5</f>
        <v/>
      </c>
      <c r="F5" s="2">
        <f>IF(ABS(E5)&lt;0.001,"闭合","不闭合")</f>
        <v/>
      </c>
      <c r="G5" s="4" t="inlineStr"/>
    </row>
    <row r="6" ht="32" customHeight="1">
      <c r="A6" s="4" t="inlineStr">
        <is>
          <t>中心距X</t>
        </is>
      </c>
      <c r="B6" s="5" t="inlineStr">
        <is>
          <t>(孔数X-1)×节距X</t>
        </is>
      </c>
      <c r="C6" s="6">
        <f>(输入!B14-1)*输入!B16</f>
        <v/>
      </c>
      <c r="D6" s="6" t="n">
        <v>24</v>
      </c>
      <c r="E6" s="6">
        <f>C6-D6</f>
        <v/>
      </c>
      <c r="F6" s="2">
        <f>IF(ABS(E6)&lt;0.001,"闭合","不闭合")</f>
        <v/>
      </c>
      <c r="G6" s="4" t="inlineStr"/>
    </row>
    <row r="7" ht="32" customHeight="1">
      <c r="A7" s="4" t="inlineStr">
        <is>
          <t>中心距Y</t>
        </is>
      </c>
      <c r="B7" s="5" t="inlineStr">
        <is>
          <t>(孔数Y-1)×节距Y</t>
        </is>
      </c>
      <c r="C7" s="6">
        <f>(输入!B15-1)*输入!B17</f>
        <v/>
      </c>
      <c r="D7" s="6" t="n">
        <v>26.4</v>
      </c>
      <c r="E7" s="6">
        <f>C7-D7</f>
        <v/>
      </c>
      <c r="F7" s="2">
        <f>IF(ABS(E7)&lt;0.001,"闭合","不闭合")</f>
        <v/>
      </c>
      <c r="G7" s="4" t="inlineStr"/>
    </row>
    <row r="8" ht="32" customHeight="1">
      <c r="A8" s="4" t="inlineStr">
        <is>
          <t>覆盖X</t>
        </is>
      </c>
      <c r="B8" s="5" t="inlineStr">
        <is>
          <t>孔数X×节距X</t>
        </is>
      </c>
      <c r="C8" s="6">
        <f>输入!B14*输入!B16</f>
        <v/>
      </c>
      <c r="D8" s="6" t="n">
        <v>27</v>
      </c>
      <c r="E8" s="6">
        <f>C8-D8</f>
        <v/>
      </c>
      <c r="F8" s="2">
        <f>IF(ABS(E8)&lt;0.001,"闭合","不闭合")</f>
        <v/>
      </c>
      <c r="G8" s="4" t="inlineStr">
        <is>
          <t>等于 die 宽</t>
        </is>
      </c>
    </row>
    <row r="9" ht="32" customHeight="1">
      <c r="A9" s="4" t="inlineStr">
        <is>
          <t>覆盖Y</t>
        </is>
      </c>
      <c r="B9" s="5" t="inlineStr">
        <is>
          <t>孔数Y×节距Y</t>
        </is>
      </c>
      <c r="C9" s="6">
        <f>输入!B15*输入!B17</f>
        <v/>
      </c>
      <c r="D9" s="6" t="n">
        <v>28.8</v>
      </c>
      <c r="E9" s="6">
        <f>C9-D9</f>
        <v/>
      </c>
      <c r="F9" s="2">
        <f>IF(ABS(E9)&lt;0.001,"闭合","不闭合")</f>
        <v/>
      </c>
      <c r="G9" s="4" t="inlineStr"/>
    </row>
    <row r="10" ht="32" customHeight="1">
      <c r="A10" s="4" t="inlineStr">
        <is>
          <t>Y超出die</t>
        </is>
      </c>
      <c r="B10" s="5" t="inlineStr">
        <is>
          <t>覆盖Y-die高</t>
        </is>
      </c>
      <c r="C10" s="6">
        <f>输入!B15*输入!B17-输入!B7</f>
        <v/>
      </c>
      <c r="D10" s="6" t="n">
        <v>0.8</v>
      </c>
      <c r="E10" s="6">
        <f>C10-D10</f>
        <v/>
      </c>
      <c r="F10" s="2">
        <f>IF(ABS(E10)&lt;0.001,"闭合","不闭合")</f>
        <v/>
      </c>
      <c r="G10" s="4" t="inlineStr"/>
    </row>
    <row r="11" ht="32" customHeight="1">
      <c r="A11" s="4" t="inlineStr">
        <is>
          <t>槽场</t>
        </is>
      </c>
      <c r="B11" s="5" t="inlineStr">
        <is>
          <t>槽数×槽节距</t>
        </is>
      </c>
      <c r="C11" s="6">
        <f>输入!B21*输入!B20</f>
        <v/>
      </c>
      <c r="D11" s="6" t="n">
        <v>28</v>
      </c>
      <c r="E11" s="6">
        <f>C11-D11</f>
        <v/>
      </c>
      <c r="F11" s="2">
        <f>IF(ABS(E11)&lt;0.001,"闭合","不闭合")</f>
        <v/>
      </c>
      <c r="G11" s="4" t="inlineStr">
        <is>
          <t>等于 die 高</t>
        </is>
      </c>
    </row>
    <row r="12" ht="32" customHeight="1">
      <c r="A12" s="4" t="inlineStr">
        <is>
          <t>孔数</t>
        </is>
      </c>
      <c r="B12" s="5" t="inlineStr">
        <is>
          <t>2×孔数X×孔数Y</t>
        </is>
      </c>
      <c r="C12" s="6">
        <f>2*输入!B14*输入!B15</f>
        <v/>
      </c>
      <c r="D12" s="6" t="n">
        <v>216</v>
      </c>
      <c r="E12" s="6">
        <f>C12-D12</f>
        <v/>
      </c>
      <c r="F12" s="2">
        <f>IF(ABS(E12)&lt;0.001,"闭合","不闭合")</f>
        <v/>
      </c>
      <c r="G12" s="4" t="inlineStr"/>
    </row>
    <row r="13" ht="32" customHeight="1">
      <c r="A13" s="4" t="inlineStr">
        <is>
          <t>肋最小</t>
        </is>
      </c>
      <c r="B13" s="5" t="inlineStr">
        <is>
          <t>槽节距-槽宽-槽宽公差</t>
        </is>
      </c>
      <c r="C13" s="6">
        <f>输入!B20-输入!B19-输入!B23</f>
        <v/>
      </c>
      <c r="D13" s="6" t="n">
        <v>0.37</v>
      </c>
      <c r="E13" s="6">
        <f>C13-D13</f>
        <v/>
      </c>
      <c r="F13" s="2">
        <f>IF(ABS(E13)&lt;0.001,"闭合","不闭合")</f>
        <v/>
      </c>
      <c r="G13" s="4" t="inlineStr">
        <is>
          <t>工艺下限 0.30，本链期望按公差下限</t>
        </is>
      </c>
    </row>
    <row r="14" ht="32" customHeight="1">
      <c r="A14" s="4" t="inlineStr">
        <is>
          <t>Y向对位后单侧余量</t>
        </is>
      </c>
      <c r="B14" s="5" t="inlineStr">
        <is>
          <t>(覆盖Y-die高)/2-对位公差</t>
        </is>
      </c>
      <c r="C14" s="6">
        <f>(输入!B15*输入!B17-输入!B7)/2-输入!B22</f>
        <v/>
      </c>
      <c r="D14" s="6" t="n">
        <v>0.2</v>
      </c>
      <c r="E14" s="6">
        <f>C14-D14</f>
        <v/>
      </c>
      <c r="F14" s="2">
        <f>IF(ABS(E14)&lt;0.001,"闭合","不闭合")</f>
        <v/>
      </c>
      <c r="G14" s="4" t="inlineStr">
        <is>
          <t>仍为正</t>
        </is>
      </c>
    </row>
    <row r="15" ht="32" customHeight="1">
      <c r="A15" s="4" t="inlineStr">
        <is>
          <t>X向对位后单侧余量</t>
        </is>
      </c>
      <c r="B15" s="5" t="inlineStr">
        <is>
          <t>(覆盖X-die宽)/2-对位公差</t>
        </is>
      </c>
      <c r="C15" s="6">
        <f>(输入!B14*输入!B16-输入!B6)/2-输入!B22</f>
        <v/>
      </c>
      <c r="D15" s="6" t="n">
        <v>0</v>
      </c>
      <c r="E15" s="6">
        <f>C15-D15</f>
        <v/>
      </c>
      <c r="F15" s="2">
        <f>IF(ABS(E15)&lt;0.001,"闭合","不闭合")</f>
        <v/>
      </c>
      <c r="G15" s="4" t="inlineStr">
        <is>
          <t>结果为 −0.20。相对 0 判为不闭合，表示 die 边缘露出</t>
        </is>
      </c>
    </row>
  </sheetData>
  <autoFilter ref="A1:G1"/>
  <pageMargins left="0.75" right="0.75" top="1" bottom="1" header="0.5" footer="0.5"/>
  <pageSetup orientation="landscape" fitToHeight="0" fitToWidth="1"/>
  <headerFooter>
    <oddHeader>&amp;L尺寸链</oddHeader>
    <oddFooter>&amp;R尺寸核实2 · 公式重算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 ht="22" customHeight="1">
      <c r="A1" s="1" t="inlineStr">
        <is>
          <t>站</t>
        </is>
      </c>
      <c r="B1" s="1" t="inlineStr">
        <is>
          <t>增量</t>
        </is>
      </c>
      <c r="C1" s="1" t="inlineStr">
        <is>
          <t>累计</t>
        </is>
      </c>
      <c r="D1" s="1" t="inlineStr">
        <is>
          <t>图纸坐标</t>
        </is>
      </c>
      <c r="E1" s="1" t="inlineStr">
        <is>
          <t>差</t>
        </is>
      </c>
      <c r="F1" s="1" t="inlineStr">
        <is>
          <t>判定</t>
        </is>
      </c>
      <c r="G1" s="1" t="inlineStr">
        <is>
          <t>说明</t>
        </is>
      </c>
    </row>
    <row r="2">
      <c r="A2" s="4" t="inlineStr">
        <is>
          <t>板左缘</t>
        </is>
      </c>
      <c r="B2" s="6" t="n">
        <v>0</v>
      </c>
      <c r="C2" s="6">
        <f>B2</f>
        <v/>
      </c>
      <c r="D2" s="6" t="n">
        <v>0</v>
      </c>
      <c r="E2" s="6">
        <f>C2-D2</f>
        <v/>
      </c>
      <c r="F2" s="2">
        <f>IF(ABS(E2)&lt;0.001,"一致","偏差")</f>
        <v/>
      </c>
      <c r="G2" s="4" t="inlineStr">
        <is>
          <t>原点</t>
        </is>
      </c>
    </row>
    <row r="3">
      <c r="A3" s="4" t="inlineStr">
        <is>
          <t>左HBM起点</t>
        </is>
      </c>
      <c r="B3" s="6">
        <f>输入!B2</f>
        <v/>
      </c>
      <c r="C3" s="6">
        <f>C2+B3</f>
        <v/>
      </c>
      <c r="D3" s="6" t="n">
        <v>5</v>
      </c>
      <c r="E3" s="6">
        <f>C3-D3</f>
        <v/>
      </c>
      <c r="F3" s="2">
        <f>IF(ABS(E3)&lt;0.001,"一致","偏差")</f>
        <v/>
      </c>
      <c r="G3" s="4" t="inlineStr">
        <is>
          <t>§8.1 X=5</t>
        </is>
      </c>
    </row>
    <row r="4">
      <c r="A4" s="4" t="inlineStr">
        <is>
          <t>左HBM右缘</t>
        </is>
      </c>
      <c r="B4" s="6">
        <f>输入!B3</f>
        <v/>
      </c>
      <c r="C4" s="6">
        <f>C3+B4</f>
        <v/>
      </c>
      <c r="D4" s="6" t="n">
        <v>16</v>
      </c>
      <c r="E4" s="6">
        <f>C4-D4</f>
        <v/>
      </c>
      <c r="F4" s="2">
        <f>IF(ABS(E4)&lt;0.001,"一致","偏差")</f>
        <v/>
      </c>
      <c r="G4" s="4" t="inlineStr"/>
    </row>
    <row r="5">
      <c r="A5" s="4" t="inlineStr">
        <is>
          <t>左肋起点</t>
        </is>
      </c>
      <c r="B5" s="6">
        <f>输入!B4</f>
        <v/>
      </c>
      <c r="C5" s="6">
        <f>C4+B5</f>
        <v/>
      </c>
      <c r="D5" s="6" t="n">
        <v>16.5</v>
      </c>
      <c r="E5" s="6">
        <f>C5-D5</f>
        <v/>
      </c>
      <c r="F5" s="2">
        <f>IF(ABS(E5)&lt;0.001,"一致","偏差")</f>
        <v/>
      </c>
      <c r="G5" s="4" t="inlineStr"/>
    </row>
    <row r="6">
      <c r="A6" s="4" t="inlineStr">
        <is>
          <t>左肋右缘</t>
        </is>
      </c>
      <c r="B6" s="6">
        <f>输入!B5</f>
        <v/>
      </c>
      <c r="C6" s="6">
        <f>C5+B6</f>
        <v/>
      </c>
      <c r="D6" s="6" t="n">
        <v>18.5</v>
      </c>
      <c r="E6" s="6">
        <f>C6-D6</f>
        <v/>
      </c>
      <c r="F6" s="2">
        <f>IF(ABS(E6)&lt;0.001,"一致","偏差")</f>
        <v/>
      </c>
      <c r="G6" s="4" t="inlineStr"/>
    </row>
    <row r="7">
      <c r="A7" s="4" t="inlineStr">
        <is>
          <t>Die-A起点</t>
        </is>
      </c>
      <c r="B7" s="6">
        <f>输入!B4</f>
        <v/>
      </c>
      <c r="C7" s="6">
        <f>C6+B7</f>
        <v/>
      </c>
      <c r="D7" s="6" t="n">
        <v>19</v>
      </c>
      <c r="E7" s="6">
        <f>C7-D7</f>
        <v/>
      </c>
      <c r="F7" s="2">
        <f>IF(ABS(E7)&lt;0.001,"一致","偏差")</f>
        <v/>
      </c>
      <c r="G7" s="4" t="inlineStr"/>
    </row>
    <row r="8">
      <c r="A8" s="4" t="inlineStr">
        <is>
          <t>Die-A右缘 / HBI起点</t>
        </is>
      </c>
      <c r="B8" s="6">
        <f>输入!B6</f>
        <v/>
      </c>
      <c r="C8" s="6">
        <f>C7+B8</f>
        <v/>
      </c>
      <c r="D8" s="6" t="n">
        <v>46</v>
      </c>
      <c r="E8" s="6">
        <f>C8-D8</f>
        <v/>
      </c>
      <c r="F8" s="2">
        <f>IF(ABS(E8)&lt;0.001,"一致","偏差")</f>
        <v/>
      </c>
      <c r="G8" s="4" t="inlineStr"/>
    </row>
    <row r="9">
      <c r="A9" s="4" t="inlineStr">
        <is>
          <t>Die-B起点</t>
        </is>
      </c>
      <c r="B9" s="6">
        <f>输入!B8</f>
        <v/>
      </c>
      <c r="C9" s="6">
        <f>C8+B9</f>
        <v/>
      </c>
      <c r="D9" s="6" t="n">
        <v>49</v>
      </c>
      <c r="E9" s="6">
        <f>C9-D9</f>
        <v/>
      </c>
      <c r="F9" s="2">
        <f>IF(ABS(E9)&lt;0.001,"一致","偏差")</f>
        <v/>
      </c>
      <c r="G9" s="4" t="inlineStr"/>
    </row>
    <row r="10">
      <c r="A10" s="4" t="inlineStr">
        <is>
          <t>Die-B右缘</t>
        </is>
      </c>
      <c r="B10" s="6">
        <f>输入!B6</f>
        <v/>
      </c>
      <c r="C10" s="6">
        <f>C9+B10</f>
        <v/>
      </c>
      <c r="D10" s="6" t="n">
        <v>76</v>
      </c>
      <c r="E10" s="6">
        <f>C10-D10</f>
        <v/>
      </c>
      <c r="F10" s="2">
        <f>IF(ABS(E10)&lt;0.001,"一致","偏差")</f>
        <v/>
      </c>
      <c r="G10" s="4" t="inlineStr"/>
    </row>
    <row r="11">
      <c r="A11" s="4" t="inlineStr">
        <is>
          <t>右肋起点</t>
        </is>
      </c>
      <c r="B11" s="6">
        <f>输入!B4</f>
        <v/>
      </c>
      <c r="C11" s="6">
        <f>C10+B11</f>
        <v/>
      </c>
      <c r="D11" s="6" t="n">
        <v>76.5</v>
      </c>
      <c r="E11" s="6">
        <f>C11-D11</f>
        <v/>
      </c>
      <c r="F11" s="2">
        <f>IF(ABS(E11)&lt;0.001,"一致","偏差")</f>
        <v/>
      </c>
      <c r="G11" s="4" t="inlineStr"/>
    </row>
    <row r="12">
      <c r="A12" s="4" t="inlineStr">
        <is>
          <t>右肋右缘</t>
        </is>
      </c>
      <c r="B12" s="6">
        <f>输入!B5</f>
        <v/>
      </c>
      <c r="C12" s="6">
        <f>C11+B12</f>
        <v/>
      </c>
      <c r="D12" s="6" t="n">
        <v>78.5</v>
      </c>
      <c r="E12" s="6">
        <f>C12-D12</f>
        <v/>
      </c>
      <c r="F12" s="2">
        <f>IF(ABS(E12)&lt;0.001,"一致","偏差")</f>
        <v/>
      </c>
      <c r="G12" s="4" t="inlineStr"/>
    </row>
    <row r="13">
      <c r="A13" s="4" t="inlineStr">
        <is>
          <t>右HBM起点</t>
        </is>
      </c>
      <c r="B13" s="6">
        <f>输入!B4</f>
        <v/>
      </c>
      <c r="C13" s="6">
        <f>C12+B13</f>
        <v/>
      </c>
      <c r="D13" s="6" t="n">
        <v>79</v>
      </c>
      <c r="E13" s="6">
        <f>C13-D13</f>
        <v/>
      </c>
      <c r="F13" s="2">
        <f>IF(ABS(E13)&lt;0.001,"一致","偏差")</f>
        <v/>
      </c>
      <c r="G13" s="4" t="inlineStr"/>
    </row>
    <row r="14">
      <c r="A14" s="4" t="inlineStr">
        <is>
          <t>右HBM右缘</t>
        </is>
      </c>
      <c r="B14" s="6">
        <f>输入!B3</f>
        <v/>
      </c>
      <c r="C14" s="6">
        <f>C13+B14</f>
        <v/>
      </c>
      <c r="D14" s="6" t="n">
        <v>90</v>
      </c>
      <c r="E14" s="6">
        <f>C14-D14</f>
        <v/>
      </c>
      <c r="F14" s="2">
        <f>IF(ABS(E14)&lt;0.001,"一致","偏差")</f>
        <v/>
      </c>
      <c r="G14" s="4" t="inlineStr"/>
    </row>
    <row r="15">
      <c r="A15" s="4" t="inlineStr">
        <is>
          <t>板右缘</t>
        </is>
      </c>
      <c r="B15" s="6">
        <f>输入!B2</f>
        <v/>
      </c>
      <c r="C15" s="6">
        <f>C14+B15</f>
        <v/>
      </c>
      <c r="D15" s="6" t="n">
        <v>95</v>
      </c>
      <c r="E15" s="6">
        <f>C15-D15</f>
        <v/>
      </c>
      <c r="F15" s="2">
        <f>IF(ABS(E15)&lt;0.001,"一致","偏差")</f>
        <v/>
      </c>
      <c r="G15" s="4" t="inlineStr">
        <is>
          <t>应等于 95</t>
        </is>
      </c>
    </row>
  </sheetData>
  <autoFilter ref="A1:G1"/>
  <pageMargins left="0.75" right="0.75" top="1" bottom="1" header="0.5" footer="0.5"/>
  <pageSetup orientation="landscape" fitToHeight="0" fitToWidth="1"/>
  <headerFooter>
    <oddHeader>&amp;L核实2</oddHeader>
    <oddFooter>&amp;R尺寸核实2 · 公式重算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7" t="inlineStr">
        <is>
          <t>不采用：asm_0921 外形厚 12.5 mm，喷嘴 128 × Ø0.50。那是另一条厚度链。</t>
        </is>
      </c>
    </row>
    <row r="2" ht="36" customHeight="1">
      <c r="A2" s="7" t="inlineStr">
        <is>
          <t>不采用：UC01b 网格孔径 0.40 mm。只说明若改孔径，H/D 会从 4 变为 5，X/Y 位置链不变。图纸基准仍是 0.50。</t>
        </is>
      </c>
    </row>
    <row r="3" ht="36" customHeight="1">
      <c r="A3" s="7" t="inlineStr">
        <is>
          <t>不采用：v1 参数集每 die 8×8 孔、段间铜岛 1.0 mm。与 v2 的 9×12、流程 3.0 mm 不能同时成立。</t>
        </is>
      </c>
    </row>
    <row r="4" ht="36" customHeight="1">
      <c r="A4" s="7" t="inlineStr">
        <is>
          <t>X 向覆盖链名义闭合。尺寸链最后一行把对位后的单侧余量与 0 比较，结果 −0.20 mm，判定为不闭合，表示 die 边缘会露出。</t>
        </is>
      </c>
    </row>
    <row r="5" ht="36" customHeight="1">
      <c r="A5" s="7" t="inlineStr">
        <is>
          <t>段间铜岛宽度报告未给，工作簿不设这个输入。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2026-09-29T00:11:04Z</dcterms:created>
  <dcterms:modified xmlns:dcterms="http://purl.org/dc/terms/" xmlns:xsi="http://www.w3.org/2001/XMLSchema-instance" xsi:type="dcterms:W3CDTF">2026-09-29T00:11:04Z</dcterms:modified>
</cp:coreProperties>
</file>