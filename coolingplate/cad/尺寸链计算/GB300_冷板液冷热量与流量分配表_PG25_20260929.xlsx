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0095" tabRatio="600" firstSheet="0" activeTab="0" autoFilterDateGrouping="1"/>
  </bookViews>
  <sheets>
    <sheet xmlns:r="http://schemas.openxmlformats.org/officeDocument/2006/relationships" name="工质物性" sheetId="1" state="visible" r:id="rId1"/>
    <sheet xmlns:r="http://schemas.openxmlformats.org/officeDocument/2006/relationships" name="分配表" sheetId="2" state="visible" r:id="rId2"/>
    <sheet xmlns:r="http://schemas.openxmlformats.org/officeDocument/2006/relationships" name="GPU射流" sheetId="3" state="visible" r:id="rId3"/>
    <sheet xmlns:r="http://schemas.openxmlformats.org/officeDocument/2006/relationships" name="HBM单颗" sheetId="4" state="visible" r:id="rId4"/>
    <sheet xmlns:r="http://schemas.openxmlformats.org/officeDocument/2006/relationships" name="Grace" sheetId="5" state="visible" r:id="rId5"/>
    <sheet xmlns:r="http://schemas.openxmlformats.org/officeDocument/2006/relationships" name="机柜对照" sheetId="6" state="visible" r:id="rId6"/>
  </sheets>
  <definedNames>
    <definedName name="_xlnm.Print_Titles" localSheetId="0">'工质物性'!$1:$4</definedName>
    <definedName name="_xlnm._FilterDatabase" localSheetId="1" hidden="1">'分配表'!$A$4:$P$16</definedName>
    <definedName name="_xlnm.Print_Titles" localSheetId="1">'分配表'!$1:$5</definedName>
    <definedName name="_xlnm.Print_Area" localSheetId="1">'分配表'!$A$1:$Q$28</definedName>
    <definedName name="_xlnm.Print_Titles" localSheetId="2">'GPU射流'!$1:$2</definedName>
    <definedName name="_xlnm.Print_Titles" localSheetId="3">'HBM单颗'!$1:$2</definedName>
    <definedName name="_xlnm.Print_Titles" localSheetId="4">'Grace'!$1:$2</definedName>
    <definedName name="_xlnm.Print_Titles" localSheetId="5">'机柜对照'!$1:$2</definedName>
  </definedNames>
  <calcPr calcId="162913" calcMode="auto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"/>
    <numFmt numFmtId="166" formatCode="0.000"/>
    <numFmt numFmtId="167" formatCode="0.000000"/>
    <numFmt numFmtId="168" formatCode="#,##0.0"/>
    <numFmt numFmtId="169" formatCode="0.0000"/>
  </numFmts>
  <fonts count="21">
    <font>
      <name val="宋体"/>
      <charset val="134"/>
      <color theme="1"/>
      <sz val="11"/>
      <scheme val="minor"/>
    </font>
    <font>
      <name val="Microsoft YaHei"/>
      <charset val="134"/>
      <b val="1"/>
      <color rgb="FF0B2748"/>
      <sz val="14"/>
    </font>
    <font>
      <name val="Microsoft YaHei"/>
      <charset val="134"/>
      <color rgb="FF182536"/>
      <sz val="10"/>
    </font>
    <font>
      <name val="Microsoft YaHei"/>
      <charset val="134"/>
      <b val="1"/>
      <color rgb="FF182536"/>
      <sz val="10"/>
    </font>
    <font>
      <name val="Microsoft YaHei"/>
      <charset val="134"/>
      <color rgb="FF0000FF"/>
      <sz val="10"/>
    </font>
    <font>
      <name val="Microsoft YaHei"/>
      <charset val="134"/>
      <color rgb="FF182536"/>
      <sz val="9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FFFFFF"/>
      <sz val="8"/>
    </font>
    <font>
      <name val="Microsoft YaHei"/>
      <charset val="134"/>
      <color rgb="FF0000FF"/>
      <sz val="9"/>
    </font>
    <font>
      <name val="Microsoft YaHei"/>
      <charset val="134"/>
      <color rgb="FF182536"/>
      <sz val="8"/>
    </font>
    <font>
      <name val="Microsoft YaHei"/>
      <charset val="134"/>
      <b val="1"/>
      <color rgb="FF182536"/>
      <sz val="9"/>
    </font>
    <font>
      <name val="Microsoft YaHei"/>
      <charset val="134"/>
      <family val="2"/>
      <color rgb="FF182536"/>
      <sz val="10"/>
    </font>
    <font>
      <name val="Microsoft YaHei"/>
      <charset val="134"/>
      <family val="2"/>
      <color rgb="FF182536"/>
      <sz val="9"/>
    </font>
    <font>
      <name val="宋体"/>
      <charset val="134"/>
      <family val="3"/>
      <sz val="9"/>
      <scheme val="minor"/>
    </font>
    <font>
      <name val="Microsoft YaHei"/>
      <color rgb="00182536"/>
      <sz val="9"/>
    </font>
    <font>
      <name val="Microsoft YaHei"/>
      <b val="1"/>
      <color rgb="000B2748"/>
      <sz val="12"/>
    </font>
    <font>
      <name val="Microsoft YaHei"/>
      <b val="1"/>
      <color rgb="00FFFFFF"/>
      <sz val="9"/>
    </font>
    <font>
      <name val="Microsoft YaHei"/>
      <color rgb="000000FF"/>
      <sz val="9"/>
    </font>
    <font>
      <name val="Microsoft YaHei"/>
      <b val="1"/>
      <color rgb="00FFFFFF"/>
      <sz val="8"/>
    </font>
    <font>
      <name val="Microsoft YaHei"/>
      <b val="1"/>
      <color rgb="00182536"/>
      <sz val="9"/>
    </font>
  </fonts>
  <fills count="12">
    <fill>
      <patternFill/>
    </fill>
    <fill>
      <patternFill patternType="gray125"/>
    </fill>
    <fill>
      <patternFill patternType="solid">
        <fgColor rgb="FFF4F7F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B2748"/>
        <bgColor indexed="64"/>
      </patternFill>
    </fill>
    <fill>
      <patternFill patternType="solid">
        <fgColor rgb="FFF4F7FB"/>
      </patternFill>
    </fill>
    <fill>
      <patternFill patternType="solid">
        <fgColor rgb="000B2748"/>
      </patternFill>
    </fill>
    <fill>
      <patternFill patternType="solid">
        <fgColor rgb="00F4F7FB"/>
      </patternFill>
    </fill>
    <fill>
      <patternFill patternType="solid">
        <fgColor rgb="00F8F1E3"/>
      </patternFill>
    </fill>
    <fill>
      <patternFill patternType="solid">
        <fgColor rgb="006B4F2A"/>
      </patternFill>
    </fill>
    <fill>
      <patternFill patternType="solid">
        <fgColor rgb="00DCE6F1"/>
      </patternFill>
    </fill>
    <fill>
      <patternFill patternType="solid">
        <fgColor rgb="003E5168"/>
      </patternFill>
    </fill>
  </fills>
  <borders count="17">
    <border>
      <left/>
      <right/>
      <top/>
      <bottom/>
      <diagonal/>
    </border>
    <border>
      <left style="thin">
        <color rgb="FFD7E0EC"/>
      </left>
      <right style="thin">
        <color rgb="FFD7E0EC"/>
      </right>
      <top style="thin">
        <color rgb="FFD7E0EC"/>
      </top>
      <bottom style="thin">
        <color rgb="FFD7E0EC"/>
      </bottom>
      <diagonal/>
    </border>
    <border>
      <left/>
      <right/>
      <top style="thin">
        <color rgb="FFD7E0EC"/>
      </top>
      <bottom style="thin">
        <color rgb="FFD7E0EC"/>
      </bottom>
      <diagonal/>
    </border>
    <border>
      <left/>
      <right style="thin">
        <color rgb="FFD7E0EC"/>
      </right>
      <top style="thin">
        <color rgb="FFD7E0EC"/>
      </top>
      <bottom style="thin">
        <color rgb="FFD7E0EC"/>
      </bottom>
      <diagonal/>
    </border>
    <border>
      <left style="thin">
        <color rgb="FFD7E0EC"/>
      </left>
      <right style="thin">
        <color rgb="FFD7E0EC"/>
      </right>
      <top/>
      <bottom style="thin">
        <color rgb="FFD7E0EC"/>
      </bottom>
      <diagonal/>
    </border>
    <border>
      <left/>
      <right/>
      <top style="thin">
        <color rgb="FFD7E0EC"/>
      </top>
      <bottom/>
      <diagonal/>
    </border>
    <border>
      <left/>
      <right style="thin">
        <color rgb="FFD7E0EC"/>
      </right>
      <top style="thin">
        <color rgb="FFD7E0EC"/>
      </top>
      <bottom/>
      <diagonal/>
    </border>
    <border>
      <left style="thin">
        <color rgb="FFD7E0EC"/>
      </left>
      <right/>
      <top/>
      <bottom/>
      <diagonal/>
    </border>
    <border>
      <left style="thin">
        <color rgb="FFD7E0EC"/>
      </left>
      <right style="thin">
        <color rgb="FFD7E0EC"/>
      </right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  <border>
      <left/>
      <right/>
      <top style="thin">
        <color rgb="00D7E0EC"/>
      </top>
      <bottom/>
      <diagonal/>
    </border>
    <border>
      <left/>
      <right style="thin">
        <color rgb="00D7E0EC"/>
      </right>
      <top style="thin">
        <color rgb="00D7E0EC"/>
      </top>
      <bottom/>
      <diagonal/>
    </border>
    <border>
      <left/>
      <right/>
      <top style="thin">
        <color rgb="00D7E0EC"/>
      </top>
      <bottom style="thin">
        <color rgb="00D7E0EC"/>
      </bottom>
      <diagonal/>
    </border>
    <border>
      <left/>
      <right style="thin">
        <color rgb="00D7E0EC"/>
      </right>
      <top style="thin">
        <color rgb="00D7E0EC"/>
      </top>
      <bottom style="thin">
        <color rgb="00D7E0EC"/>
      </bottom>
      <diagonal/>
    </border>
    <border>
      <left style="thin">
        <color rgb="00D7E0EC"/>
      </left>
      <right/>
      <top/>
      <bottom/>
      <diagonal/>
    </border>
    <border>
      <left style="thin">
        <color rgb="00D7E0EC"/>
      </left>
      <right style="thin">
        <color rgb="00D7E0EC"/>
      </right>
      <top/>
      <bottom/>
      <diagonal/>
    </border>
    <border>
      <left style="thin">
        <color rgb="00D7E0EC"/>
      </left>
      <right style="thin">
        <color rgb="00D7E0EC"/>
      </right>
      <top/>
      <bottom style="thin">
        <color rgb="00D7E0EC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  <xf numFmtId="3" fontId="2" fillId="2" borderId="1" applyAlignment="1" pivotButton="0" quotePrefix="0" xfId="0">
      <alignment vertical="center" wrapText="1"/>
    </xf>
    <xf numFmtId="2" fontId="2" fillId="2" borderId="1" applyAlignment="1" pivotButton="0" quotePrefix="0" xfId="0">
      <alignment vertical="center" wrapText="1"/>
    </xf>
    <xf numFmtId="1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2" fontId="2" fillId="2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pivotButton="0" quotePrefix="0" xfId="0"/>
    <xf numFmtId="1" fontId="2" fillId="2" borderId="1" applyAlignment="1" pivotButton="0" quotePrefix="0" xfId="0">
      <alignment vertical="center" wrapText="1"/>
    </xf>
    <xf numFmtId="2" fontId="4" fillId="3" borderId="1" applyAlignment="1" pivotButton="0" quotePrefix="0" xfId="0">
      <alignment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2" fontId="2" fillId="0" borderId="0" pivotButton="0" quotePrefix="0" xfId="0"/>
    <xf numFmtId="2" fontId="9" fillId="3" borderId="1" applyAlignment="1" pivotButton="0" quotePrefix="0" xfId="0">
      <alignment horizontal="left" vertical="center" wrapText="1"/>
    </xf>
    <xf numFmtId="2" fontId="5" fillId="2" borderId="1" applyAlignment="1" pivotButton="0" quotePrefix="0" xfId="0">
      <alignment horizontal="left" vertical="center" wrapText="1"/>
    </xf>
    <xf numFmtId="2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1" fontId="9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vertical="center" wrapText="1"/>
    </xf>
    <xf numFmtId="165" fontId="4" fillId="3" borderId="1" applyAlignment="1" pivotButton="0" quotePrefix="0" xfId="0">
      <alignment vertical="center" wrapText="1"/>
    </xf>
    <xf numFmtId="166" fontId="4" fillId="3" borderId="1" applyAlignment="1" pivotButton="0" quotePrefix="0" xfId="0">
      <alignment vertical="center" wrapText="1"/>
    </xf>
    <xf numFmtId="167" fontId="4" fillId="3" borderId="1" applyAlignment="1" pivotButton="0" quotePrefix="0" xfId="0">
      <alignment vertical="center" wrapText="1"/>
    </xf>
    <xf numFmtId="164" fontId="9" fillId="3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left" vertical="center" wrapText="1"/>
    </xf>
    <xf numFmtId="168" fontId="9" fillId="3" borderId="1" applyAlignment="1" pivotButton="0" quotePrefix="0" xfId="0">
      <alignment horizontal="left" vertical="center" wrapText="1"/>
    </xf>
    <xf numFmtId="169" fontId="5" fillId="2" borderId="1" applyAlignment="1" pivotButton="0" quotePrefix="0" xfId="0">
      <alignment horizontal="left" vertical="center" wrapText="1"/>
    </xf>
    <xf numFmtId="164" fontId="10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left" vertical="center" wrapText="1"/>
    </xf>
    <xf numFmtId="168" fontId="5" fillId="2" borderId="1" applyAlignment="1" pivotButton="0" quotePrefix="0" xfId="0">
      <alignment horizontal="left" vertical="center" wrapText="1"/>
    </xf>
    <xf numFmtId="169" fontId="2" fillId="2" borderId="0" pivotButton="0" quotePrefix="0" xfId="0"/>
    <xf numFmtId="166" fontId="2" fillId="2" borderId="1" applyAlignment="1" pivotButton="0" quotePrefix="0" xfId="0">
      <alignment vertical="center" wrapText="1"/>
    </xf>
    <xf numFmtId="164" fontId="2" fillId="2" borderId="1" applyAlignment="1" pivotButton="0" quotePrefix="0" xfId="0">
      <alignment vertical="center" wrapText="1"/>
    </xf>
    <xf numFmtId="2" fontId="12" fillId="5" borderId="0" applyAlignment="1" pivotButton="0" quotePrefix="0" xfId="0">
      <alignment vertical="center" wrapText="1"/>
    </xf>
    <xf numFmtId="169" fontId="12" fillId="5" borderId="0" applyAlignment="1" pivotButton="0" quotePrefix="0" xfId="0">
      <alignment vertical="center" wrapText="1"/>
    </xf>
    <xf numFmtId="166" fontId="12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164" fontId="12" fillId="5" borderId="0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166" fontId="12" fillId="5" borderId="0" pivotButton="0" quotePrefix="0" xfId="0"/>
    <xf numFmtId="169" fontId="2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165" fontId="4" fillId="3" borderId="1" applyAlignment="1" pivotButton="0" quotePrefix="0" xfId="0">
      <alignment vertical="center" wrapText="1"/>
    </xf>
    <xf numFmtId="166" fontId="4" fillId="3" borderId="1" applyAlignment="1" pivotButton="0" quotePrefix="0" xfId="0">
      <alignment vertical="center" wrapText="1"/>
    </xf>
    <xf numFmtId="167" fontId="4" fillId="3" borderId="1" applyAlignment="1" pivotButton="0" quotePrefix="0" xfId="0">
      <alignment vertical="center" wrapText="1"/>
    </xf>
    <xf numFmtId="164" fontId="9" fillId="3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left" vertical="center" wrapText="1"/>
    </xf>
    <xf numFmtId="168" fontId="9" fillId="3" borderId="1" applyAlignment="1" pivotButton="0" quotePrefix="0" xfId="0">
      <alignment horizontal="left" vertical="center" wrapText="1"/>
    </xf>
    <xf numFmtId="169" fontId="5" fillId="2" borderId="1" applyAlignment="1" pivotButton="0" quotePrefix="0" xfId="0">
      <alignment horizontal="left" vertical="center" wrapText="1"/>
    </xf>
    <xf numFmtId="164" fontId="10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left" vertical="center" wrapText="1"/>
    </xf>
    <xf numFmtId="168" fontId="5" fillId="2" borderId="1" applyAlignment="1" pivotButton="0" quotePrefix="0" xfId="0">
      <alignment horizontal="left" vertical="center" wrapText="1"/>
    </xf>
    <xf numFmtId="169" fontId="2" fillId="2" borderId="0" pivotButton="0" quotePrefix="0" xfId="0"/>
    <xf numFmtId="166" fontId="2" fillId="2" borderId="1" applyAlignment="1" pivotButton="0" quotePrefix="0" xfId="0">
      <alignment vertical="center" wrapText="1"/>
    </xf>
    <xf numFmtId="164" fontId="2" fillId="2" borderId="1" applyAlignment="1" pivotButton="0" quotePrefix="0" xfId="0">
      <alignment vertical="center" wrapText="1"/>
    </xf>
    <xf numFmtId="169" fontId="12" fillId="5" borderId="0" applyAlignment="1" pivotButton="0" quotePrefix="0" xfId="0">
      <alignment vertical="center" wrapText="1"/>
    </xf>
    <xf numFmtId="166" fontId="12" fillId="5" borderId="0" applyAlignment="1" pivotButton="0" quotePrefix="0" xfId="0">
      <alignment vertical="center" wrapText="1"/>
    </xf>
    <xf numFmtId="164" fontId="12" fillId="5" borderId="0" applyAlignment="1" pivotButton="0" quotePrefix="0" xfId="0">
      <alignment vertical="center" wrapText="1"/>
    </xf>
    <xf numFmtId="166" fontId="12" fillId="5" borderId="0" pivotButton="0" quotePrefix="0" xfId="0"/>
    <xf numFmtId="169" fontId="2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6" borderId="9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left" vertical="center" wrapText="1"/>
    </xf>
    <xf numFmtId="2" fontId="15" fillId="7" borderId="9" applyAlignment="1" pivotButton="0" quotePrefix="0" xfId="0">
      <alignment horizontal="center" vertical="center" wrapText="1"/>
    </xf>
    <xf numFmtId="166" fontId="15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2" fontId="15" fillId="8" borderId="9" applyAlignment="1" pivotButton="0" quotePrefix="0" xfId="0">
      <alignment horizontal="center" vertical="center" wrapText="1"/>
    </xf>
    <xf numFmtId="166" fontId="15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17" fillId="9" borderId="9" applyAlignment="1" pivotButton="0" quotePrefix="0" xfId="0">
      <alignment horizontal="center" vertical="center" wrapText="1"/>
    </xf>
    <xf numFmtId="2" fontId="17" fillId="9" borderId="9" applyAlignment="1" pivotButton="0" quotePrefix="0" xfId="0">
      <alignment horizontal="center" vertical="center" wrapText="1"/>
    </xf>
    <xf numFmtId="169" fontId="15" fillId="8" borderId="9" applyAlignment="1" pivotButton="0" quotePrefix="0" xfId="0">
      <alignment horizontal="center" vertical="center" wrapText="1"/>
    </xf>
    <xf numFmtId="0" fontId="15" fillId="7" borderId="9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 wrapText="1"/>
    </xf>
    <xf numFmtId="0" fontId="15" fillId="7" borderId="9" applyAlignment="1" pivotButton="0" quotePrefix="0" xfId="0">
      <alignment horizontal="left" vertical="center" wrapText="1"/>
    </xf>
    <xf numFmtId="0" fontId="15" fillId="8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4" fontId="18" fillId="10" borderId="9" applyAlignment="1" pivotButton="0" quotePrefix="0" xfId="0">
      <alignment horizontal="left" vertical="center" wrapText="1"/>
    </xf>
    <xf numFmtId="2" fontId="15" fillId="7" borderId="9" applyAlignment="1" pivotButton="0" quotePrefix="0" xfId="0">
      <alignment horizontal="left" vertical="center" wrapText="1"/>
    </xf>
    <xf numFmtId="166" fontId="15" fillId="7" borderId="9" applyAlignment="1" pivotButton="0" quotePrefix="0" xfId="0">
      <alignment horizontal="left" vertical="center" wrapText="1"/>
    </xf>
    <xf numFmtId="2" fontId="15" fillId="8" borderId="9" applyAlignment="1" pivotButton="0" quotePrefix="0" xfId="0">
      <alignment horizontal="left" vertical="center" wrapText="1"/>
    </xf>
    <xf numFmtId="166" fontId="15" fillId="8" borderId="9" applyAlignment="1" pivotButton="0" quotePrefix="0" xfId="0">
      <alignment horizontal="left" vertical="center" wrapText="1"/>
    </xf>
    <xf numFmtId="0" fontId="17" fillId="11" borderId="9" applyAlignment="1" pivotButton="0" quotePrefix="0" xfId="0">
      <alignment horizontal="center" vertical="center" wrapText="1"/>
    </xf>
    <xf numFmtId="0" fontId="0" fillId="0" borderId="16" pivotButton="0" quotePrefix="0" xfId="0"/>
    <xf numFmtId="0" fontId="19" fillId="11" borderId="9" applyAlignment="1" pivotButton="0" quotePrefix="0" xfId="0">
      <alignment horizontal="center" vertical="center" wrapText="1"/>
    </xf>
    <xf numFmtId="169" fontId="15" fillId="7" borderId="9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164" fontId="15" fillId="7" borderId="9" applyAlignment="1" pivotButton="0" quotePrefix="0" xfId="0">
      <alignment horizontal="left" vertical="center" wrapText="1"/>
    </xf>
    <xf numFmtId="167" fontId="15" fillId="7" borderId="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1" fontId="18" fillId="10" borderId="9" applyAlignment="1" pivotButton="0" quotePrefix="0" xfId="0">
      <alignment horizontal="left" vertical="center" wrapText="1"/>
    </xf>
    <xf numFmtId="1" fontId="15" fillId="7" borderId="9" applyAlignment="1" pivotButton="0" quotePrefix="0" xfId="0">
      <alignment horizontal="left" vertical="center" wrapText="1"/>
    </xf>
  </cellXfs>
  <cellStyles count="1">
    <cellStyle name="常规" xfId="0" builtinId="0"/>
  </cellStyles>
  <dxfs count="6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B2748"/>
    <outlinePr summaryBelow="1" summaryRight="1"/>
    <pageSetUpPr fitToPage="1"/>
  </sheetPr>
  <dimension ref="A1:H40"/>
  <sheetViews>
    <sheetView showGridLines="0" tabSelected="1" zoomScale="110" zoomScaleNormal="11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28" customWidth="1" style="59" min="1" max="1"/>
    <col width="14" customWidth="1" style="59" min="2" max="2"/>
    <col width="16" customWidth="1" style="59" min="3" max="3"/>
    <col width="22" customWidth="1" style="59" min="4" max="4"/>
    <col width="14" customWidth="1" style="59" min="5" max="6"/>
    <col width="12" customWidth="1" style="59" min="7" max="7"/>
    <col width="28" customWidth="1" style="59" min="8" max="8"/>
  </cols>
  <sheetData>
    <row r="1" ht="21" customHeight="1" s="59">
      <c r="A1" s="1" t="inlineStr">
        <is>
          <t>工质物性</t>
        </is>
      </c>
    </row>
    <row r="2" ht="64" customHeight="1" s="59">
      <c r="A2" s="93" t="inlineStr">
        <is>
          <t>蓝字蓝底是输入。普朗特数是公式。PG25 沿用本仓库 design/calc/model.py 的 PG25_40，与 B300 冷板 v2.0 报告第 3.2 节同一行：25% 丙二醇，40 °C。计算模块没有附手册页码。本表把这一组当作体积分数 25% 的丙二醇水溶液。水一行是 v2.0 的水基线，用来对照。分配表的设计流量和设计温升只用 PG25。水只进入标明「对照」的列。本版设计要求流体温升是 B37 的 6 °C，项目要求，2026-09-30。6 °C 比 OCP 带下沿 7.5 °C 更紧，所以它不是 OCP 指标，也不是 NVIDIA 的额定温升。设计比流量在 C38，由密度、比热和 B37 用公式算出。上一版约 10 °C、1.5 L/(min·kW) 仍留在 B14 与下方对照，不作为本版设计点。</t>
        </is>
      </c>
    </row>
    <row r="4" ht="21.95" customHeight="1" s="59">
      <c r="A4" s="9" t="inlineStr">
        <is>
          <t>工质</t>
        </is>
      </c>
      <c r="B4" s="9" t="inlineStr">
        <is>
          <t>温度_C</t>
        </is>
      </c>
      <c r="C4" s="9" t="inlineStr">
        <is>
          <t>密度_kg_m3</t>
        </is>
      </c>
      <c r="D4" s="9" t="inlineStr">
        <is>
          <t>比热_J_kgK</t>
        </is>
      </c>
      <c r="E4" s="9" t="inlineStr">
        <is>
          <t>粘度_Pa_s</t>
        </is>
      </c>
      <c r="F4" s="9" t="inlineStr">
        <is>
          <t>导热_W_mK</t>
        </is>
      </c>
      <c r="G4" s="9" t="inlineStr">
        <is>
          <t>普朗特数</t>
        </is>
      </c>
      <c r="H4" s="9" t="inlineStr">
        <is>
          <t>用途</t>
        </is>
      </c>
    </row>
    <row r="5" ht="16.5" customHeight="1" s="59">
      <c r="A5" s="28" t="inlineStr">
        <is>
          <t>PG25</t>
        </is>
      </c>
      <c r="B5" s="5" t="n">
        <v>40</v>
      </c>
      <c r="C5" s="70" t="n">
        <v>1022</v>
      </c>
      <c r="D5" s="5" t="n">
        <v>3900</v>
      </c>
      <c r="E5" s="71" t="n">
        <v>0.00115</v>
      </c>
      <c r="F5" s="72" t="n">
        <v>0.452</v>
      </c>
      <c r="G5" s="4">
        <f>E5*D5/F5</f>
        <v/>
      </c>
      <c r="H5" s="6" t="inlineStr">
        <is>
          <t>本版设计工质</t>
        </is>
      </c>
    </row>
    <row r="6" ht="16.5" customHeight="1" s="59">
      <c r="A6" s="28" t="inlineStr">
        <is>
          <t>水</t>
        </is>
      </c>
      <c r="B6" s="5" t="n">
        <v>40</v>
      </c>
      <c r="C6" s="70" t="n">
        <v>992.2</v>
      </c>
      <c r="D6" s="5" t="n">
        <v>4179</v>
      </c>
      <c r="E6" s="73" t="n">
        <v>0.000653</v>
      </c>
      <c r="F6" s="72" t="n">
        <v>0.631</v>
      </c>
      <c r="G6" s="4">
        <f>E6*D6/F6</f>
        <v/>
      </c>
      <c r="H6" s="6" t="inlineStr">
        <is>
          <t>v2.0 水基线</t>
        </is>
      </c>
    </row>
    <row r="8" ht="48" customHeight="1" s="59">
      <c r="A8" s="58" t="inlineStr">
        <is>
          <t>能量平衡：ΔT = P / (ρ · Q · cp)。Q 为 m³/s，流量从 L/min 换成 m³/s 时除以 60000。设计体积流量_L/min = 功率_W × 60000 / (密度 × 比热 × 设计要求温升)。设计比流量 = 60×1000000 / (密度 × 比热 × 设计要求温升)，不用科学计数。设计要求温升是项目输入，见 B37，现为 6 °C。它比 OCP 下沿 7.5 °C 更紧，不是把 OCP 约 2.0 L/(min·kW) 当作设计比流量。上一版比流量 1.5 L/(min·kW) 仍在 B14，对应温升见 B20。</t>
        </is>
      </c>
    </row>
    <row r="10" ht="21" customHeight="1" s="59">
      <c r="A10" s="29" t="inlineStr">
        <is>
          <t>官方流体温升依据</t>
        </is>
      </c>
    </row>
    <row r="11" ht="72" customHeight="1" s="59">
      <c r="A11" s="58" t="inlineStr">
        <is>
          <t>2026-09-30。单颗 HBM 表面极差没有公开限值，不再把 ≤2.5 °C 当作要求。项目要求的 6 °C 也不把它恢复，6 °C 不是表面极差。OCP OAI System Liquid Cooling Guidelines，2023-03-03 更新，第 1.3 节：冷却液温升带约 7.5–12 °C；约 10 °C 对应约 1.5 L/(min·kW)，约 7.5 °C 对应约 2.0 L/(min·kW)，依据 PG25。OCP 的 7.5–12 °C、约 10 °C 和约 1.5 L/(min·kW) 留作邻值。本项目设计要求是 B37 的 6 °C，2026-09-30。6 °C 比该带下沿 7.5 °C 更紧，所以它不是 OCP 指标，也不是 NVIDIA 的额定温升。比流量用 C38 的公式。6 °C 是冷却液温升 ΔT = P / (ρ · Q · cp)，不是芯片表面极差。上一版设计点仍留在 B14、B20。蓝字是输入。</t>
        </is>
      </c>
    </row>
    <row r="13" ht="14.25" customHeight="1" s="59">
      <c r="A13" s="64" t="inlineStr">
        <is>
          <t>参数</t>
        </is>
      </c>
      <c r="B13" s="64" t="inlineStr">
        <is>
          <t>数值</t>
        </is>
      </c>
      <c r="C13" s="64" t="inlineStr">
        <is>
          <t>单位</t>
        </is>
      </c>
      <c r="D13" s="64" t="inlineStr">
        <is>
          <t>依据</t>
        </is>
      </c>
      <c r="E13" s="61" t="n"/>
      <c r="F13" s="61" t="n"/>
      <c r="G13" s="61" t="n"/>
      <c r="H13" s="62" t="n"/>
    </row>
    <row r="14" ht="27.95" customHeight="1" s="59">
      <c r="A14" s="94" t="inlineStr">
        <is>
          <t>上一版比流量</t>
        </is>
      </c>
      <c r="B14" s="21" t="n">
        <v>1.5</v>
      </c>
      <c r="C14" s="60" t="inlineStr">
        <is>
          <t>L/(min·kW)</t>
        </is>
      </c>
      <c r="D14" s="60" t="inlineStr">
        <is>
          <t>OCP，OAI System Liquid Cooling Guidelines，2023-03-03 更新，第 1.3 节。约 10 °C 的典型值 1.5 LPM/kW，依据 PG25。这是上一版设计点，不是本版设计要求。本版设计要求是 B37。</t>
        </is>
      </c>
      <c r="E14" s="61" t="n"/>
      <c r="F14" s="61" t="n"/>
      <c r="G14" s="61" t="n"/>
      <c r="H14" s="62" t="n"/>
    </row>
    <row r="15" ht="27.95" customHeight="1" s="59">
      <c r="A15" s="60" t="inlineStr">
        <is>
          <t>比流量带下限</t>
        </is>
      </c>
      <c r="B15" s="21" t="n">
        <v>1.25</v>
      </c>
      <c r="C15" s="60" t="inlineStr">
        <is>
          <t>L/(min·kW)</t>
        </is>
      </c>
      <c r="D15" s="60" t="inlineStr">
        <is>
          <t>同节。对应冷却液温升上沿约 12 °C。</t>
        </is>
      </c>
      <c r="E15" s="61" t="n"/>
      <c r="F15" s="61" t="n"/>
      <c r="G15" s="61" t="n"/>
      <c r="H15" s="62" t="n"/>
    </row>
    <row r="16" ht="27.95" customHeight="1" s="59">
      <c r="A16" s="60" t="inlineStr">
        <is>
          <t>比流量带上限</t>
        </is>
      </c>
      <c r="B16" s="21" t="n">
        <v>2</v>
      </c>
      <c r="C16" s="60" t="inlineStr">
        <is>
          <t>L/(min·kW)</t>
        </is>
      </c>
      <c r="D16" s="60" t="inlineStr">
        <is>
          <t>同节。对应冷却液温升下沿约 7.5 °C。</t>
        </is>
      </c>
      <c r="E16" s="61" t="n"/>
      <c r="F16" s="61" t="n"/>
      <c r="G16" s="61" t="n"/>
      <c r="H16" s="62" t="n"/>
    </row>
    <row r="17" ht="27.95" customHeight="1" s="59">
      <c r="A17" s="60" t="inlineStr">
        <is>
          <t>温升带下限</t>
        </is>
      </c>
      <c r="B17" s="74" t="n">
        <v>7.5</v>
      </c>
      <c r="C17" s="60" t="inlineStr">
        <is>
          <t>°C</t>
        </is>
      </c>
      <c r="D17" s="60" t="inlineStr">
        <is>
          <t>同节。这是冷却液温升，不是芯片表面极差。</t>
        </is>
      </c>
      <c r="E17" s="61" t="n"/>
      <c r="F17" s="61" t="n"/>
      <c r="G17" s="61" t="n"/>
      <c r="H17" s="62" t="n"/>
    </row>
    <row r="18" ht="27.95" customHeight="1" s="59">
      <c r="A18" s="60" t="inlineStr">
        <is>
          <t>温升带上限</t>
        </is>
      </c>
      <c r="B18" s="74" t="n">
        <v>12</v>
      </c>
      <c r="C18" s="60" t="inlineStr">
        <is>
          <t>°C</t>
        </is>
      </c>
      <c r="D18" s="60" t="inlineStr">
        <is>
          <t>同节。</t>
        </is>
      </c>
      <c r="E18" s="61" t="n"/>
      <c r="F18" s="61" t="n"/>
      <c r="G18" s="61" t="n"/>
      <c r="H18" s="62" t="n"/>
    </row>
    <row r="19" ht="27.95" customHeight="1" s="59">
      <c r="A19" s="60" t="inlineStr">
        <is>
          <t>上一版名义温升</t>
        </is>
      </c>
      <c r="B19" s="74" t="n">
        <v>10</v>
      </c>
      <c r="C19" s="60" t="inlineStr">
        <is>
          <t>°C</t>
        </is>
      </c>
      <c r="D19" s="60" t="inlineStr">
        <is>
          <t>同节的典型目标，约 10 °C。上一版用它对照。本版设计要求不取这一格，取 B37。计算结果用 B20，不把 10 直接写成能量平衡。</t>
        </is>
      </c>
      <c r="E19" s="61" t="n"/>
      <c r="F19" s="61" t="n"/>
      <c r="G19" s="61" t="n"/>
      <c r="H19" s="62" t="n"/>
    </row>
    <row r="20" ht="48" customHeight="1" s="59">
      <c r="A20" s="60" t="inlineStr">
        <is>
          <t>上一版比流量对应的流体温升</t>
        </is>
      </c>
      <c r="B20" s="22">
        <f>60*1000000/(C5*D5*B14)</f>
        <v/>
      </c>
      <c r="C20" s="60" t="inlineStr">
        <is>
          <t>°C</t>
        </is>
      </c>
      <c r="D20" s="94" t="inlineStr">
        <is>
          <t>ΔT = 1 / (ρ · cp · 比流量 / 1000 / 60000)。分子写成 60×1000000。本行只用 PG25（C5、D5）和上一版比流量 B14，应接近第 19 行的名义 10 °C，差来自本表 ρ 与 cp。本版设计温升不取这一格，取 B37。水在同一设计温升下的比流量见 C39。</t>
        </is>
      </c>
      <c r="E20" s="61" t="n"/>
      <c r="F20" s="61" t="n"/>
      <c r="G20" s="61" t="n"/>
      <c r="H20" s="62" t="n"/>
    </row>
    <row r="21" ht="27.95" customHeight="1" s="59">
      <c r="A21" s="60" t="inlineStr">
        <is>
          <t>供液温度上限</t>
        </is>
      </c>
      <c r="B21" s="30" t="n">
        <v>45</v>
      </c>
      <c r="C21" s="60" t="inlineStr">
        <is>
          <t>°C</t>
        </is>
      </c>
      <c r="D21" s="60" t="inlineStr">
        <is>
          <t>Lenovo Press LP2357，2026-08-30，表 27。供液 45 °C 时整柜流量 177 L/min，机柜压降 18.4 psi。这是供液温度，不是表面极差。</t>
        </is>
      </c>
      <c r="E21" s="61" t="n"/>
      <c r="F21" s="61" t="n"/>
      <c r="G21" s="61" t="n"/>
      <c r="H21" s="62" t="n"/>
    </row>
    <row r="22" ht="32.1" customHeight="1" s="59">
      <c r="A22" s="60" t="inlineStr">
        <is>
          <t>HBM传感器类温度</t>
        </is>
      </c>
      <c r="B22" s="30" t="n">
        <v>95</v>
      </c>
      <c r="C22" s="60" t="inlineStr">
        <is>
          <t>°C</t>
        </is>
      </c>
      <c r="D22" s="60" t="inlineStr">
        <is>
          <t>NVIDIA H100 PCIe，PB-11133-001 v01，表 4 与表 5。THBM 为全部 HBM 传感器的最大值，热认证取值 95 °C。GPU 的 TAVG 热认证取值 87 °C。二者都是绝对温度。</t>
        </is>
      </c>
      <c r="E22" s="61" t="n"/>
      <c r="F22" s="61" t="n"/>
      <c r="G22" s="61" t="n"/>
      <c r="H22" s="62" t="n"/>
    </row>
    <row r="23" ht="14.25" customHeight="1" s="59">
      <c r="A23" s="60" t="inlineStr">
        <is>
          <t>表面极差官方限值</t>
        </is>
      </c>
      <c r="B23" s="31" t="inlineStr">
        <is>
          <t>未公开</t>
        </is>
      </c>
      <c r="C23" s="60" t="inlineStr">
        <is>
          <t>—</t>
        </is>
      </c>
      <c r="D23" s="60" t="inlineStr">
        <is>
          <t>单颗表面 Tmax−Tmin，以及 4 颗或 8 颗之间的极差，公开文件中均未给出数值条款。</t>
        </is>
      </c>
      <c r="E23" s="61" t="n"/>
      <c r="F23" s="61" t="n"/>
      <c r="G23" s="61" t="n"/>
      <c r="H23" s="62" t="n"/>
    </row>
    <row r="25" ht="36" customHeight="1" s="59">
      <c r="A25" s="58" t="inlineStr">
        <is>
          <t>检索说明（2026-09-29，多方核对，不把博客当规范）。NVIDIA H100 PCIe PB-11133-001：只有传感器绝对温度，没有表面极差。JEDEC JESD238B.01 第 7.3 节：工作温度是各存储晶粒及可选逻辑晶粒的结温，主机经 TEMPERATURE 与 CHANNEL_TEMPERATURE 读取；CATTRIP 为灾难性结温跳闸。储存温度才是壳体顶面中心温度，测量指向 JESD51-2。表 71 给的是标准档与可选扩展档的绝对温度，文本中没有表面极差条款。JEDEC JESD235D 第 7.3 节：工作温度定义为 HBM 背面中心温度，扩展档的刷新见厂商数据手册。同样没有表面 Tmax−Tmin。Micron HBM3E product brief：0 °C ≤ TOPER ≤ +105 °C，是工作窗口，不是表面跨度。Samsung 公开的 HBM3 / HBM3E 页面给出带宽、容量和热阻改善百分比，数据手册需另行索取，页面上没有表面极差数字。SK hynix Newsroom 的 HBM3E 稿写散热性能约改善 10%，没有表面极差数字。OCP 上述指南约束的是冷却液温升和比流量，不是单颗 HBM 表面极差。因此分配表把表面极差官方限值写成未公开。OCP 的 7.5–12 °C 留作邻值。设计流体温升是项目要求 6 °C（B37），比 OCP 下沿更紧，不是表面极差。</t>
        </is>
      </c>
    </row>
    <row r="26" ht="36" customHeight="1" s="59"/>
    <row r="27" ht="36" customHeight="1" s="59"/>
    <row r="29" ht="22" customHeight="1" s="59">
      <c r="A29" s="95" t="inlineStr">
        <is>
          <t>上一版约 10 °C 的比流量对照</t>
        </is>
      </c>
    </row>
    <row r="30" ht="60" customHeight="1" s="59">
      <c r="A30" s="93" t="inlineStr">
        <is>
          <t>2026-09-30。这里仍是名义温升 B19 约 10 °C 的对照，不是本版设计点。比流量 = 60×1000000 / (ρ · cp · ΔT)。上一版采用的 1.5 L/(min·kW) 仍是 B14，来自 OCP 第 1.3 节对 PG25、约 10 °C 的典型值。该节的 1.25–2.0、典型 1.5 不是水的比流量，也不是 NVIDIA GB300 的额定比流量。本版设计点在第 37–38 行：温升输入是项目要求 6 °C，比 OCP 下沿 7.5 °C 更紧，比流量由公式算出。</t>
        </is>
      </c>
    </row>
    <row r="32" ht="22" customHeight="1" s="59">
      <c r="A32" s="96" t="inlineStr">
        <is>
          <t>工质</t>
        </is>
      </c>
      <c r="B32" s="96" t="inlineStr">
        <is>
          <t>温升_C</t>
        </is>
      </c>
      <c r="C32" s="96" t="inlineStr">
        <is>
          <t>比流量_L_min_kW</t>
        </is>
      </c>
      <c r="D32" s="96" t="inlineStr">
        <is>
          <t>说明</t>
        </is>
      </c>
      <c r="E32" s="112" t="n"/>
      <c r="F32" s="112" t="n"/>
      <c r="G32" s="112" t="n"/>
      <c r="H32" s="113" t="n"/>
    </row>
    <row r="33" ht="36" customHeight="1" s="59">
      <c r="A33" s="97" t="inlineStr">
        <is>
          <t>PG25·等10°C对照</t>
        </is>
      </c>
      <c r="B33" s="98">
        <f>B19</f>
        <v/>
      </c>
      <c r="C33" s="99">
        <f>60*1000000/(C5*D5*B33)</f>
        <v/>
      </c>
      <c r="D33" s="97" t="inlineStr">
        <is>
          <t>公式。同一名义温升，用 PG25 的密度和比热算出，接近 1.50。不是本版设计点。本版设计比流量在 C38。</t>
        </is>
      </c>
      <c r="E33" s="112" t="n"/>
      <c r="F33" s="112" t="n"/>
      <c r="G33" s="112" t="n"/>
      <c r="H33" s="113" t="n"/>
    </row>
    <row r="34" ht="48" customHeight="1" s="59">
      <c r="A34" s="97" t="inlineStr">
        <is>
          <t>水·等10°C对照</t>
        </is>
      </c>
      <c r="B34" s="101">
        <f>B19</f>
        <v/>
      </c>
      <c r="C34" s="102">
        <f>60*1000000/(C6*D6*B34)</f>
        <v/>
      </c>
      <c r="D34" s="97" t="inlineStr">
        <is>
          <t>对照。同一名义约 10 °C，用水的密度和比热算出，接近 1.45。不是设计比流量，不是 OCP 给水的指标，也不是 NVIDIA GB300 的额定比流量。分配表里的水对照用的是设计温升 B37，见 C39，不再引用这一格。</t>
        </is>
      </c>
      <c r="E34" s="112" t="n"/>
      <c r="F34" s="112" t="n"/>
      <c r="G34" s="112" t="n"/>
      <c r="H34" s="113" t="n"/>
    </row>
    <row r="35" ht="48" customHeight="1" s="59">
      <c r="A35" s="97" t="inlineStr">
        <is>
          <t>PG25·上一版设计点·约10℃</t>
        </is>
      </c>
      <c r="B35" s="98">
        <f>B20</f>
        <v/>
      </c>
      <c r="C35" s="99">
        <f>B14</f>
        <v/>
      </c>
      <c r="D35" s="97" t="inlineStr">
        <is>
          <t>上一版比流量是 C 列这一格，工质 PG25。数值来自 OCP 第 1.3 节的典型 1.5，不是 C33，也不是 C34。B 列是该比流量在 PG25 下的温升，指向 B20，约 10 °C。本版设计点不取这一行。</t>
        </is>
      </c>
      <c r="E35" s="112" t="n"/>
      <c r="F35" s="112" t="n"/>
      <c r="G35" s="112" t="n"/>
      <c r="H35" s="113" t="n"/>
    </row>
    <row r="37" ht="48" customHeight="1" s="59">
      <c r="A37" s="97" t="inlineStr">
        <is>
          <t>设计要求流体温升</t>
        </is>
      </c>
      <c r="B37" s="114" t="n">
        <v>6</v>
      </c>
      <c r="C37" s="97" t="inlineStr">
        <is>
          <t>°C</t>
        </is>
      </c>
      <c r="D37" s="97" t="inlineStr">
        <is>
          <t>项目要求，2026-09-30。设计流体温升 6 °C。比 OCP 第 1.3 节温升带下沿 7.5 °C（B17）更紧，所以不是 OCP 指标，也不是 NVIDIA 的额定温升。改这一格才改设计流量。这是冷却液温升 ΔT = P / (ρ · Q · cp)，不是芯片表面极差。</t>
        </is>
      </c>
      <c r="E37" s="112" t="n"/>
      <c r="F37" s="112" t="n"/>
      <c r="G37" s="112" t="n"/>
      <c r="H37" s="113" t="n"/>
    </row>
    <row r="38" ht="36" customHeight="1" s="59">
      <c r="A38" s="97" t="inlineStr">
        <is>
          <t>PG25·设计比流量</t>
        </is>
      </c>
      <c r="B38" s="115">
        <f>B37</f>
        <v/>
      </c>
      <c r="C38" s="116">
        <f>60*1000000/(C5*D5*B37)</f>
        <v/>
      </c>
      <c r="D38" s="97" t="inlineStr">
        <is>
          <t>公式。比流量 = 60×1000000 / (C5 × D5 × B37)，ρ 与 cp 取 PG25。不把 OCP 在 7.5 °C 一端的约 2.0 L/(min·kW) 写进来。设计温升是 B37 的 6 °C。</t>
        </is>
      </c>
      <c r="E38" s="112" t="n"/>
      <c r="F38" s="112" t="n"/>
      <c r="G38" s="112" t="n"/>
      <c r="H38" s="113" t="n"/>
    </row>
    <row r="39" ht="36" customHeight="1" s="59">
      <c r="A39" s="97" t="inlineStr">
        <is>
          <t>水·等6°C对照</t>
        </is>
      </c>
      <c r="B39" s="117">
        <f>B37</f>
        <v/>
      </c>
      <c r="C39" s="118">
        <f>60*1000000/(C6*D6*B39)</f>
        <v/>
      </c>
      <c r="D39" s="97" t="inlineStr">
        <is>
          <t>对照。同一设计要求温升，用水的密度和比热算出。不是设计比流量，不是 OCP 给水的指标，也不是本版设计点。</t>
        </is>
      </c>
      <c r="E39" s="112" t="n"/>
      <c r="F39" s="112" t="n"/>
      <c r="G39" s="112" t="n"/>
      <c r="H39" s="113" t="n"/>
    </row>
    <row r="40" ht="36" customHeight="1" s="59">
      <c r="A40" s="93" t="inlineStr">
        <is>
          <t>C38 是本版设计比流量，工质 PG25。分配表 F 列的体积流量按 Q = P × 60000 / (ρ · cp · B37) 闭合到 B37。C39 是水在同一温升下的比流量，分配表 M 列用它，不引用 C34。B37 是项目要求 6 °C，比 OCP 下沿 7.5 °C 更紧。B14 与 C35 只保留上一版约 10 °C。</t>
        </is>
      </c>
    </row>
  </sheetData>
  <mergeCells count="25">
    <mergeCell ref="D35:H35"/>
    <mergeCell ref="A30:H30"/>
    <mergeCell ref="D20:H20"/>
    <mergeCell ref="D34:H34"/>
    <mergeCell ref="D19:H19"/>
    <mergeCell ref="A11:H11"/>
    <mergeCell ref="D22:H22"/>
    <mergeCell ref="D21:H21"/>
    <mergeCell ref="D13:H13"/>
    <mergeCell ref="D32:H32"/>
    <mergeCell ref="D17:H17"/>
    <mergeCell ref="D16:H16"/>
    <mergeCell ref="A25:H27"/>
    <mergeCell ref="A2:H2"/>
    <mergeCell ref="D37:H37"/>
    <mergeCell ref="D18:H18"/>
    <mergeCell ref="A8:H8"/>
    <mergeCell ref="D39:H39"/>
    <mergeCell ref="D15:H15"/>
    <mergeCell ref="A29:H29"/>
    <mergeCell ref="D33:H33"/>
    <mergeCell ref="D23:H23"/>
    <mergeCell ref="D38:H38"/>
    <mergeCell ref="D14:H14"/>
    <mergeCell ref="A40:H40"/>
  </mergeCells>
  <printOptions horizontalCentered="1"/>
  <pageMargins left="0.4" right="0.4" top="0.6" bottom="0.5" header="0.25" footer="0.25"/>
  <pageSetup orientation="portrait" paperSize="9" fitToHeight="2" fitToWidth="1"/>
  <headerFooter>
    <oddHeader>&amp;LGB300 冷板 · PG25 · 2026-09-29</oddHeader>
    <oddFooter>&amp;RA4 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0B2748"/>
    <outlinePr summaryBelow="1" summaryRight="1"/>
    <pageSetUpPr fitToPage="1"/>
  </sheetPr>
  <dimension ref="A1:T40"/>
  <sheetViews>
    <sheetView showGridLines="0" zoomScale="90" zoomScaleNormal="90" workbookViewId="0">
      <pane ySplit="5" topLeftCell="A6" activePane="bottomLeft" state="frozen"/>
      <selection pane="bottomLeft" activeCell="A1" sqref="A1"/>
    </sheetView>
  </sheetViews>
  <sheetFormatPr baseColWidth="8" defaultColWidth="9" defaultRowHeight="13.5"/>
  <cols>
    <col width="20" customWidth="1" style="59" min="1" max="1"/>
    <col width="12" customWidth="1" style="59" min="2" max="3"/>
    <col width="12" customWidth="1" style="59" min="3" max="3"/>
    <col width="13" customWidth="1" style="59" min="4" max="5"/>
    <col width="12" customWidth="1" style="59" min="5" max="5"/>
    <col width="15" customWidth="1" style="59" min="6" max="6"/>
    <col width="14" customWidth="1" style="59" min="7" max="7"/>
    <col width="16" customWidth="1" style="59" min="8" max="8"/>
    <col width="14" customWidth="1" style="59" min="9" max="9"/>
    <col width="26" customWidth="1" style="59" min="10" max="10"/>
    <col width="36" customWidth="1" style="59" min="11" max="11"/>
    <col width="14" customWidth="1" style="59" min="12" max="20"/>
    <col width="14" customWidth="1" style="59" min="13" max="13"/>
    <col width="12" customWidth="1" style="59" min="14" max="14"/>
    <col width="18" customWidth="1" style="59" min="15" max="15"/>
    <col width="16" customWidth="1" style="59" min="16" max="16"/>
    <col width="14" customWidth="1" style="59" min="17" max="17"/>
  </cols>
  <sheetData>
    <row r="1" ht="21.95" customHeight="1" s="59">
      <c r="A1" s="1" t="inlineStr">
        <is>
          <t>热量与流量分配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</row>
    <row r="2" ht="108" customHeight="1" s="59">
      <c r="A2" s="93" t="inlineStr">
        <is>
          <t>2026-09-30 修订。功率仍是项目输入，蓝字。设计要求冷却液温升是工质物性!B37 的 6 °C，项目要求，2026-09-30。6 °C 比 OCP 第 1.3 节温升带下沿 7.5 °C 更紧，所以它不是 OCP 指标，也不是 NVIDIA 的额定温升。这是冷却液温升 ΔT = P / (ρ · Q · cp)，不是芯片表面极差。推荐流量 = 功率_W × 60000 / (PG25 密度 × 比热 × B37)。比流量 = 60×1000000 / (密度 × 比热 × B37)。F、G 列是这一设计点。P、Q 列是上一版设计点·PG25·约10℃，比流量仍是工质物性!B14 的 1.5 L/(min·kW)。D、E 列原分配表·PG25 只保留对照。单颗表面极差官方限值 = 未公开。Lenovo 表 27 的 59/71/89/119/177 L/min 对应供液 25/30/35/40/45 °C，177 L/min 不替换；按项目 140 kW，177 L/min 的温升高于设计要求 6 °C，表 27 不另造水与 PG25 两条曲线。机柜 PG25 流量按 140 kW 和 6 °C 新算，会靠近原分配表 350–380 L/min，那是新算的结果，不是把原分配表恢复成指标。孔速 2.0 m/s、HBM 近壁 0.80 m/s 仍是项目限值。水对照：M、N 列是水·等6°C对照，不是设计点；O 列把 F 列的 PG25 设计体积流量保持不变，只改用水的密度和比热算温升。v2.0 的水基线是整板 2.0 L/min、GPU 区 1.60 L/min，在 GPU射流页，那是 1100 W 档的水候选，不是这个 6 °C 的 PG25 点。</t>
        </is>
      </c>
      <c r="R2" s="14" t="n"/>
      <c r="S2" s="14" t="n"/>
      <c r="T2" s="14" t="n"/>
    </row>
    <row r="3" ht="16.5" customHeight="1" s="59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</row>
    <row r="4" ht="32" customHeight="1" s="59">
      <c r="A4" s="64" t="inlineStr">
        <is>
          <t>对象</t>
        </is>
      </c>
      <c r="B4" s="64" t="inlineStr">
        <is>
          <t>功率来源</t>
        </is>
      </c>
      <c r="C4" s="64" t="inlineStr">
        <is>
          <t>功率_W</t>
        </is>
      </c>
      <c r="D4" s="64" t="inlineStr">
        <is>
          <t>原分配表·PG25</t>
        </is>
      </c>
      <c r="E4" s="62" t="n"/>
      <c r="F4" s="64" t="inlineStr">
        <is>
          <t>设计点·PG25·6°C</t>
        </is>
      </c>
      <c r="G4" s="62" t="n"/>
      <c r="H4" s="64" t="inlineStr">
        <is>
          <t>OCP邻值温升带</t>
        </is>
      </c>
      <c r="I4" s="64" t="inlineStr">
        <is>
          <t>表面极差官方限值</t>
        </is>
      </c>
      <c r="J4" s="64" t="inlineStr">
        <is>
          <t>流路</t>
        </is>
      </c>
      <c r="K4" s="64" t="inlineStr">
        <is>
          <t>备注</t>
        </is>
      </c>
      <c r="L4" s="96" t="inlineStr">
        <is>
          <t>设计点工质</t>
        </is>
      </c>
      <c r="M4" s="104" t="inlineStr">
        <is>
          <t>水·等6°C对照</t>
        </is>
      </c>
      <c r="N4" s="113" t="n"/>
      <c r="O4" s="104" t="inlineStr">
        <is>
          <t>水对照·固定PG25流量的水温升_C</t>
        </is>
      </c>
      <c r="P4" s="119" t="inlineStr">
        <is>
          <t>上一版设计点·PG25·约10℃</t>
        </is>
      </c>
      <c r="Q4" s="113" t="n"/>
      <c r="R4" s="14" t="n"/>
      <c r="S4" s="14" t="n"/>
      <c r="T4" s="14" t="n"/>
    </row>
    <row r="5" ht="32" customHeight="1" s="59">
      <c r="A5" s="66" t="n"/>
      <c r="B5" s="66" t="n"/>
      <c r="C5" s="66" t="n"/>
      <c r="D5" s="75" t="inlineStr">
        <is>
          <t>下限_L_min</t>
        </is>
      </c>
      <c r="E5" s="19" t="inlineStr">
        <is>
          <t>上限_L_min</t>
        </is>
      </c>
      <c r="F5" s="19" t="inlineStr">
        <is>
          <t>流量_L_min</t>
        </is>
      </c>
      <c r="G5" s="19" t="inlineStr">
        <is>
          <t>温升_C</t>
        </is>
      </c>
      <c r="H5" s="66" t="n"/>
      <c r="I5" s="66" t="n"/>
      <c r="J5" s="66" t="n"/>
      <c r="K5" s="66" t="n"/>
      <c r="L5" s="120" t="n"/>
      <c r="M5" s="105" t="inlineStr">
        <is>
          <t>流量_L_min</t>
        </is>
      </c>
      <c r="N5" s="105" t="inlineStr">
        <is>
          <t>温升_C</t>
        </is>
      </c>
      <c r="O5" s="120" t="n"/>
      <c r="P5" s="121" t="inlineStr">
        <is>
          <t>流量_L_min</t>
        </is>
      </c>
      <c r="Q5" s="121" t="inlineStr">
        <is>
          <t>温升_C</t>
        </is>
      </c>
      <c r="R5" s="14" t="n"/>
      <c r="S5" s="14" t="n"/>
      <c r="T5" s="14" t="n"/>
    </row>
    <row r="6" ht="36" customHeight="1" s="59">
      <c r="A6" s="60" t="inlineStr">
        <is>
          <t>单 GPU 模组</t>
        </is>
      </c>
      <c r="B6" s="76" t="inlineStr">
        <is>
          <t>项目</t>
        </is>
      </c>
      <c r="C6" s="77" t="n">
        <v>1400</v>
      </c>
      <c r="D6" s="21" t="n">
        <v>4</v>
      </c>
      <c r="E6" s="21" t="n">
        <v>4.2</v>
      </c>
      <c r="F6" s="78">
        <f>C6*60000/(工质物性!$C$5*工质物性!$D$5*工质物性!$B$37)</f>
        <v/>
      </c>
      <c r="G6" s="22">
        <f>IF(F6=0,"",C6*60000/(工质物性!$C$5*F6*工质物性!$D$5))</f>
        <v/>
      </c>
      <c r="H6" s="79">
        <f>TEXT(工质物性!$B$17,"0.0")&amp;"–"&amp;TEXT(工质物性!$B$18,"0.0")&amp;" °C"</f>
        <v/>
      </c>
      <c r="I6" s="80" t="inlineStr">
        <is>
          <t>—</t>
        </is>
      </c>
      <c r="J6" s="81" t="inlineStr">
        <is>
          <t>模组总路</t>
        </is>
      </c>
      <c r="K6" s="23" t="inlineStr">
        <is>
          <t>Lenovo LP2357 表 10：单 GPU TGP 1100 W，官方邻值，不替换本行 1400 W。</t>
        </is>
      </c>
      <c r="L6" s="98" t="inlineStr">
        <is>
          <t>PG25</t>
        </is>
      </c>
      <c r="M6" s="106">
        <f>C6*60000/(工质物性!$C$6*工质物性!$D$6*工质物性!$B$37)</f>
        <v/>
      </c>
      <c r="N6" s="101">
        <f>IF(M6=0,"",C6*60000/(工质物性!$C$6*M6*工质物性!$D$6))</f>
        <v/>
      </c>
      <c r="O6" s="101">
        <f>IF(F6=0,"",C6*60000/(工质物性!$C$6*F6*工质物性!$D$6))</f>
        <v/>
      </c>
      <c r="P6" s="122">
        <f>C6/1000*工质物性!$B$14</f>
        <v/>
      </c>
      <c r="Q6" s="115">
        <f>IF(P6=0,"",C6*60000/(工质物性!$C$5*P6*工质物性!$D$5))</f>
        <v/>
      </c>
      <c r="R6" s="14" t="n"/>
      <c r="S6" s="14" t="n"/>
      <c r="T6" s="14" t="n"/>
    </row>
    <row r="7" ht="36" customHeight="1" s="59">
      <c r="A7" s="60" t="inlineStr">
        <is>
          <t>GPU 核心</t>
        </is>
      </c>
      <c r="B7" s="76" t="inlineStr">
        <is>
          <t>项目</t>
        </is>
      </c>
      <c r="C7" s="77" t="n">
        <v>910</v>
      </c>
      <c r="D7" s="21" t="n">
        <v>2.4</v>
      </c>
      <c r="E7" s="21" t="n">
        <v>2.6</v>
      </c>
      <c r="F7" s="78">
        <f>C7*60000/(工质物性!$C$5*工质物性!$D$5*工质物性!$B$37)</f>
        <v/>
      </c>
      <c r="G7" s="22">
        <f>IF(F7=0,"",C7*60000/(工质物性!$C$5*F7*工质物性!$D$5))</f>
        <v/>
      </c>
      <c r="H7" s="79">
        <f>TEXT(工质物性!$B$17,"0.0")&amp;"–"&amp;TEXT(工质物性!$B$18,"0.0")&amp;" °C"</f>
        <v/>
      </c>
      <c r="I7" s="80" t="inlineStr">
        <is>
          <t>—</t>
        </is>
      </c>
      <c r="J7" s="81" t="inlineStr">
        <is>
          <t>冲击射流。项目孔速上限 2.0 m/s。</t>
        </is>
      </c>
      <c r="K7" s="23" t="inlineStr">
        <is>
          <t>几何仍是 216 孔冲击，不改成微通道。</t>
        </is>
      </c>
      <c r="L7" s="98" t="inlineStr">
        <is>
          <t>PG25</t>
        </is>
      </c>
      <c r="M7" s="106">
        <f>C7*60000/(工质物性!$C$6*工质物性!$D$6*工质物性!$B$37)</f>
        <v/>
      </c>
      <c r="N7" s="101">
        <f>IF(M7=0,"",C7*60000/(工质物性!$C$6*M7*工质物性!$D$6))</f>
        <v/>
      </c>
      <c r="O7" s="101">
        <f>IF(F7=0,"",C7*60000/(工质物性!$C$6*F7*工质物性!$D$6))</f>
        <v/>
      </c>
      <c r="P7" s="122">
        <f>C7/1000*工质物性!$B$14</f>
        <v/>
      </c>
      <c r="Q7" s="115">
        <f>IF(P7=0,"",C7*60000/(工质物性!$C$5*P7*工质物性!$D$5))</f>
        <v/>
      </c>
      <c r="R7" s="14" t="n"/>
      <c r="S7" s="14" t="n"/>
      <c r="T7" s="14" t="n"/>
    </row>
    <row r="8" ht="36" customHeight="1" s="59">
      <c r="A8" s="60" t="inlineStr">
        <is>
          <t>HBM3E 八堆</t>
        </is>
      </c>
      <c r="B8" s="76" t="inlineStr">
        <is>
          <t>项目</t>
        </is>
      </c>
      <c r="C8" s="77" t="n">
        <v>350</v>
      </c>
      <c r="D8" s="21" t="n">
        <v>1.2</v>
      </c>
      <c r="E8" s="21" t="n">
        <v>1.4</v>
      </c>
      <c r="F8" s="78">
        <f>C8*60000/(工质物性!$C$5*工质物性!$D$5*工质物性!$B$37)</f>
        <v/>
      </c>
      <c r="G8" s="22">
        <f>IF(F8=0,"",C8*60000/(工质物性!$C$5*F8*工质物性!$D$5))</f>
        <v/>
      </c>
      <c r="H8" s="79">
        <f>TEXT(工质物性!$B$17,"0.0")&amp;"–"&amp;TEXT(工质物性!$B$18,"0.0")&amp;" °C"</f>
        <v/>
      </c>
      <c r="I8" s="82">
        <f>工质物性!$B$23</f>
        <v/>
      </c>
      <c r="J8" s="81" t="inlineStr">
        <is>
          <t>微通道，八颗并联。不是冲击孔。</t>
        </is>
      </c>
      <c r="K8" s="65" t="inlineStr">
        <is>
          <t>八颗之间的表面极差同样未公开。</t>
        </is>
      </c>
      <c r="L8" s="98" t="inlineStr">
        <is>
          <t>PG25</t>
        </is>
      </c>
      <c r="M8" s="106">
        <f>C8*60000/(工质物性!$C$6*工质物性!$D$6*工质物性!$B$37)</f>
        <v/>
      </c>
      <c r="N8" s="101">
        <f>IF(M8=0,"",C8*60000/(工质物性!$C$6*M8*工质物性!$D$6))</f>
        <v/>
      </c>
      <c r="O8" s="101">
        <f>IF(F8=0,"",C8*60000/(工质物性!$C$6*F8*工质物性!$D$6))</f>
        <v/>
      </c>
      <c r="P8" s="122">
        <f>C8/1000*工质物性!$B$14</f>
        <v/>
      </c>
      <c r="Q8" s="115">
        <f>IF(P8=0,"",C8*60000/(工质物性!$C$5*P8*工质物性!$D$5))</f>
        <v/>
      </c>
      <c r="R8" s="14" t="n"/>
      <c r="S8" s="14" t="n"/>
      <c r="T8" s="14" t="n"/>
    </row>
    <row r="9" ht="36" customHeight="1" s="59">
      <c r="A9" s="60" t="inlineStr">
        <is>
          <t>HBM3E 单颗</t>
        </is>
      </c>
      <c r="B9" s="76" t="inlineStr">
        <is>
          <t>项目</t>
        </is>
      </c>
      <c r="C9" s="77" t="n">
        <v>43.7</v>
      </c>
      <c r="D9" s="21" t="n">
        <v>0.15</v>
      </c>
      <c r="E9" s="21" t="n">
        <v>0.18</v>
      </c>
      <c r="F9" s="78">
        <f>C9*60000/(工质物性!$C$5*工质物性!$D$5*工质物性!$B$37)</f>
        <v/>
      </c>
      <c r="G9" s="22">
        <f>IF(F9=0,"",C9*60000/(工质物性!$C$5*F9*工质物性!$D$5))</f>
        <v/>
      </c>
      <c r="H9" s="79">
        <f>TEXT(工质物性!$B$17,"0.0")&amp;"–"&amp;TEXT(工质物性!$B$18,"0.0")&amp;" °C"</f>
        <v/>
      </c>
      <c r="I9" s="82">
        <f>工质物性!$B$23</f>
        <v/>
      </c>
      <c r="J9" s="81" t="inlineStr">
        <is>
          <t>微通道。每颗中心进液、两侧出水。不是冲击孔。</t>
        </is>
      </c>
      <c r="K9" s="23" t="inlineStr">
        <is>
          <t>绝对温度：HBM 传感器类 95 °C（工质物性 B22，H100 PCIe）；供液至 45 °C（工质物性 B21）。近壁 0.80 m/s 仍是项目限值。</t>
        </is>
      </c>
      <c r="L9" s="98" t="inlineStr">
        <is>
          <t>PG25</t>
        </is>
      </c>
      <c r="M9" s="106">
        <f>C9*60000/(工质物性!$C$6*工质物性!$D$6*工质物性!$B$37)</f>
        <v/>
      </c>
      <c r="N9" s="101">
        <f>IF(M9=0,"",C9*60000/(工质物性!$C$6*M9*工质物性!$D$6))</f>
        <v/>
      </c>
      <c r="O9" s="101">
        <f>IF(F9=0,"",C9*60000/(工质物性!$C$6*F9*工质物性!$D$6))</f>
        <v/>
      </c>
      <c r="P9" s="122">
        <f>C9/1000*工质物性!$B$14</f>
        <v/>
      </c>
      <c r="Q9" s="115">
        <f>IF(P9=0,"",C9*60000/(工质物性!$C$5*P9*工质物性!$D$5))</f>
        <v/>
      </c>
      <c r="R9" s="14" t="n"/>
      <c r="S9" s="14" t="n"/>
      <c r="T9" s="14" t="n"/>
    </row>
    <row r="10" ht="36" customHeight="1" s="59">
      <c r="A10" s="60" t="inlineStr">
        <is>
          <t>板内其他</t>
        </is>
      </c>
      <c r="B10" s="76" t="inlineStr">
        <is>
          <t>项目</t>
        </is>
      </c>
      <c r="C10" s="77" t="n">
        <v>140</v>
      </c>
      <c r="D10" s="21" t="n">
        <v>0.3</v>
      </c>
      <c r="E10" s="21" t="n">
        <v>0.4</v>
      </c>
      <c r="F10" s="78">
        <f>C10*60000/(工质物性!$C$5*工质物性!$D$5*工质物性!$B$37)</f>
        <v/>
      </c>
      <c r="G10" s="22">
        <f>IF(F10=0,"",C10*60000/(工质物性!$C$5*F10*工质物性!$D$5))</f>
        <v/>
      </c>
      <c r="H10" s="25">
        <f>TEXT(工质物性!$B$17,"0.0")&amp;"–"&amp;TEXT(工质物性!$B$18,"0.0")&amp;" °C"</f>
        <v/>
      </c>
      <c r="I10" s="60" t="inlineStr">
        <is>
          <t>—</t>
        </is>
      </c>
      <c r="J10" s="81" t="inlineStr">
        <is>
          <t>随模组，不单开中心进液。</t>
        </is>
      </c>
      <c r="K10" s="65" t="inlineStr">
        <is>
          <t>项目拆分，约 140 W。</t>
        </is>
      </c>
      <c r="L10" s="107" t="inlineStr">
        <is>
          <t>PG25</t>
        </is>
      </c>
      <c r="M10" s="106">
        <f>C10*60000/(工质物性!$C$6*工质物性!$D$6*工质物性!$B$37)</f>
        <v/>
      </c>
      <c r="N10" s="101">
        <f>IF(M10=0,"",C10*60000/(工质物性!$C$6*M10*工质物性!$D$6))</f>
        <v/>
      </c>
      <c r="O10" s="101">
        <f>IF(F10=0,"",C10*60000/(工质物性!$C$6*F10*工质物性!$D$6))</f>
        <v/>
      </c>
      <c r="P10" s="122">
        <f>C10/1000*工质物性!$B$14</f>
        <v/>
      </c>
      <c r="Q10" s="115">
        <f>IF(P10=0,"",C10*60000/(工质物性!$C$5*P10*工质物性!$D$5))</f>
        <v/>
      </c>
      <c r="R10" s="14" t="n"/>
      <c r="S10" s="14" t="n"/>
      <c r="T10" s="14" t="n"/>
    </row>
    <row r="11" ht="36" customHeight="1" s="59">
      <c r="A11" s="60" t="inlineStr">
        <is>
          <t>三路流量和</t>
        </is>
      </c>
      <c r="B11" s="76" t="inlineStr">
        <is>
          <t>公式</t>
        </is>
      </c>
      <c r="C11" s="83">
        <f>C7+C8+C10</f>
        <v/>
      </c>
      <c r="D11" s="22">
        <f>D7+D8+D10</f>
        <v/>
      </c>
      <c r="E11" s="22">
        <f>E7+E8+E10</f>
        <v/>
      </c>
      <c r="F11" s="78">
        <f>F7+F8+F10</f>
        <v/>
      </c>
      <c r="G11" s="22">
        <f>IF(F11=0,"",C11*60000/(工质物性!$C$5*F11*工质物性!$D$5))</f>
        <v/>
      </c>
      <c r="H11" s="25">
        <f>TEXT(工质物性!$B$17,"0.0")&amp;"–"&amp;TEXT(工质物性!$B$18,"0.0")&amp;" °C"</f>
        <v/>
      </c>
      <c r="I11" s="60" t="inlineStr">
        <is>
          <t>—</t>
        </is>
      </c>
      <c r="J11" s="81" t="inlineStr">
        <is>
          <t>核心 + 八堆 + 其他</t>
        </is>
      </c>
      <c r="K11" s="65" t="inlineStr">
        <is>
          <t>功率应等于模组。推荐流量按分项相加。</t>
        </is>
      </c>
      <c r="L11" s="107" t="inlineStr">
        <is>
          <t>PG25</t>
        </is>
      </c>
      <c r="M11" s="106">
        <f>M7+M8+M10</f>
        <v/>
      </c>
      <c r="N11" s="101">
        <f>IF(M11=0,"",C11*60000/(工质物性!$C$6*M11*工质物性!$D$6))</f>
        <v/>
      </c>
      <c r="O11" s="101">
        <f>IF(F11=0,"",C11*60000/(工质物性!$C$6*F11*工质物性!$D$6))</f>
        <v/>
      </c>
      <c r="P11" s="122">
        <f>P7+P8+P10</f>
        <v/>
      </c>
      <c r="Q11" s="115">
        <f>IF(P11=0,"",C11*60000/(工质物性!$C$5*P11*工质物性!$D$5))</f>
        <v/>
      </c>
      <c r="R11" s="14" t="n"/>
      <c r="S11" s="14" t="n"/>
      <c r="T11" s="14" t="n"/>
    </row>
    <row r="12" ht="36" customHeight="1" s="59">
      <c r="A12" s="60" t="inlineStr">
        <is>
          <t>八倍单颗</t>
        </is>
      </c>
      <c r="B12" s="76" t="inlineStr">
        <is>
          <t>公式</t>
        </is>
      </c>
      <c r="C12" s="83">
        <f>8*C9</f>
        <v/>
      </c>
      <c r="D12" s="22">
        <f>8*D9</f>
        <v/>
      </c>
      <c r="E12" s="22">
        <f>8*E9</f>
        <v/>
      </c>
      <c r="F12" s="78">
        <f>8*F9</f>
        <v/>
      </c>
      <c r="G12" s="22">
        <f>IF(F12=0,"",C12*60000/(工质物性!$C$5*F12*工质物性!$D$5))</f>
        <v/>
      </c>
      <c r="H12" s="25">
        <f>TEXT(工质物性!$B$17,"0.0")&amp;"–"&amp;TEXT(工质物性!$B$18,"0.0")&amp;" °C"</f>
        <v/>
      </c>
      <c r="I12" s="26">
        <f>工质物性!$B$23</f>
        <v/>
      </c>
      <c r="J12" s="81" t="inlineStr">
        <is>
          <t>八颗并联的流量和</t>
        </is>
      </c>
      <c r="K12" s="65" t="inlineStr">
        <is>
          <t>与第 8 行对照。43.7×8 与 350 W 的差保留，不抹平。</t>
        </is>
      </c>
      <c r="L12" s="107" t="inlineStr">
        <is>
          <t>PG25</t>
        </is>
      </c>
      <c r="M12" s="106">
        <f>8*M9</f>
        <v/>
      </c>
      <c r="N12" s="101">
        <f>IF(M12=0,"",C12*60000/(工质物性!$C$6*M12*工质物性!$D$6))</f>
        <v/>
      </c>
      <c r="O12" s="101">
        <f>IF(F12=0,"",C12*60000/(工质物性!$C$6*F12*工质物性!$D$6))</f>
        <v/>
      </c>
      <c r="P12" s="122">
        <f>8*P9</f>
        <v/>
      </c>
      <c r="Q12" s="115">
        <f>IF(P12=0,"",C12*60000/(工质物性!$C$5*P12*工质物性!$D$5))</f>
        <v/>
      </c>
      <c r="R12" s="14" t="n"/>
      <c r="S12" s="14" t="n"/>
      <c r="T12" s="14" t="n"/>
    </row>
    <row r="13" ht="36" customHeight="1" s="59">
      <c r="A13" s="60" t="inlineStr">
        <is>
          <t>Grace 支路</t>
        </is>
      </c>
      <c r="B13" s="76" t="inlineStr">
        <is>
          <t>项目</t>
        </is>
      </c>
      <c r="C13" s="77" t="n">
        <v>300</v>
      </c>
      <c r="D13" s="21" t="n">
        <v>0.8</v>
      </c>
      <c r="E13" s="21" t="n">
        <v>0.8</v>
      </c>
      <c r="F13" s="78">
        <f>C13*60000/(工质物性!$C$5*工质物性!$D$5*工质物性!$B$37)</f>
        <v/>
      </c>
      <c r="G13" s="22">
        <f>IF(F13=0,"",C13*60000/(工质物性!$C$5*F13*工质物性!$D$5))</f>
        <v/>
      </c>
      <c r="H13" s="25">
        <f>TEXT(工质物性!$B$17,"0.0")&amp;"–"&amp;TEXT(工质物性!$B$18,"0.0")&amp;" °C"</f>
        <v/>
      </c>
      <c r="I13" s="60" t="inlineStr">
        <is>
          <t>—</t>
        </is>
      </c>
      <c r="J13" s="81" t="inlineStr">
        <is>
          <t>沿 Y 交错槽。CPU 与 LPDDR 不新设中心进液。</t>
        </is>
      </c>
      <c r="K13" s="108" t="inlineStr">
        <is>
          <t>原分配表·PG25 这一路上下限都是 0.8 L/min。水基线 0.55 L/min 在 Grace 页，不是这两列。</t>
        </is>
      </c>
      <c r="L13" s="98" t="inlineStr">
        <is>
          <t>PG25</t>
        </is>
      </c>
      <c r="M13" s="106">
        <f>C13*60000/(工质物性!$C$6*工质物性!$D$6*工质物性!$B$37)</f>
        <v/>
      </c>
      <c r="N13" s="101">
        <f>IF(M13=0,"",C13*60000/(工质物性!$C$6*M13*工质物性!$D$6))</f>
        <v/>
      </c>
      <c r="O13" s="101">
        <f>IF(F13=0,"",C13*60000/(工质物性!$C$6*F13*工质物性!$D$6))</f>
        <v/>
      </c>
      <c r="P13" s="122">
        <f>C13/1000*工质物性!$B$14</f>
        <v/>
      </c>
      <c r="Q13" s="115">
        <f>IF(P13=0,"",C13*60000/(工质物性!$C$5*P13*工质物性!$D$5))</f>
        <v/>
      </c>
      <c r="R13" s="14" t="n"/>
      <c r="S13" s="14" t="n"/>
      <c r="T13" s="14" t="n"/>
    </row>
    <row r="14" ht="36" customHeight="1" s="59">
      <c r="A14" s="60" t="inlineStr">
        <is>
          <t>GB300 Superchip</t>
        </is>
      </c>
      <c r="B14" s="76" t="inlineStr">
        <is>
          <t>项目</t>
        </is>
      </c>
      <c r="C14" s="77" t="n">
        <v>3100</v>
      </c>
      <c r="D14" s="21" t="n">
        <v>8.800000000000001</v>
      </c>
      <c r="E14" s="21" t="n">
        <v>9.5</v>
      </c>
      <c r="F14" s="78">
        <f>C14*60000/(工质物性!$C$5*工质物性!$D$5*工质物性!$B$37)</f>
        <v/>
      </c>
      <c r="G14" s="22">
        <f>IF(F14=0,"",C14*60000/(工质物性!$C$5*F14*工质物性!$D$5))</f>
        <v/>
      </c>
      <c r="H14" s="25">
        <f>TEXT(工质物性!$B$17,"0.0")&amp;"–"&amp;TEXT(工质物性!$B$18,"0.0")&amp;" °C"</f>
        <v/>
      </c>
      <c r="I14" s="60" t="inlineStr">
        <is>
          <t>—</t>
        </is>
      </c>
      <c r="J14" s="81" t="inlineStr">
        <is>
          <t>1 路 Grace + 2 块模组</t>
        </is>
      </c>
      <c r="K14" s="23" t="inlineStr">
        <is>
          <t>1×300 + 2×1400 = 3100 W，项目功率。</t>
        </is>
      </c>
      <c r="L14" s="98" t="inlineStr">
        <is>
          <t>PG25</t>
        </is>
      </c>
      <c r="M14" s="106">
        <f>C14*60000/(工质物性!$C$6*工质物性!$D$6*工质物性!$B$37)</f>
        <v/>
      </c>
      <c r="N14" s="101">
        <f>IF(M14=0,"",C14*60000/(工质物性!$C$6*M14*工质物性!$D$6))</f>
        <v/>
      </c>
      <c r="O14" s="101">
        <f>IF(F14=0,"",C14*60000/(工质物性!$C$6*F14*工质物性!$D$6))</f>
        <v/>
      </c>
      <c r="P14" s="122">
        <f>C14/1000*工质物性!$B$14</f>
        <v/>
      </c>
      <c r="Q14" s="115">
        <f>IF(P14=0,"",C14*60000/(工质物性!$C$5*P14*工质物性!$D$5))</f>
        <v/>
      </c>
      <c r="R14" s="14" t="n"/>
      <c r="S14" s="14" t="n"/>
      <c r="T14" s="14" t="n"/>
    </row>
    <row r="15" ht="36" customHeight="1" s="59">
      <c r="A15" s="60" t="inlineStr">
        <is>
          <t>计算托盘</t>
        </is>
      </c>
      <c r="B15" s="76" t="inlineStr">
        <is>
          <t>项目</t>
        </is>
      </c>
      <c r="C15" s="77" t="n">
        <v>6200</v>
      </c>
      <c r="D15" s="21" t="n">
        <v>18</v>
      </c>
      <c r="E15" s="21" t="n">
        <v>20</v>
      </c>
      <c r="F15" s="78">
        <f>C15*60000/(工质物性!$C$5*工质物性!$D$5*工质物性!$B$37)</f>
        <v/>
      </c>
      <c r="G15" s="22">
        <f>IF(F15=0,"",C15*60000/(工质物性!$C$5*F15*工质物性!$D$5))</f>
        <v/>
      </c>
      <c r="H15" s="25">
        <f>TEXT(工质物性!$B$17,"0.0")&amp;"–"&amp;TEXT(工质物性!$B$18,"0.0")&amp;" °C"</f>
        <v/>
      </c>
      <c r="I15" s="60" t="inlineStr">
        <is>
          <t>—</t>
        </is>
      </c>
      <c r="J15" s="81" t="inlineStr">
        <is>
          <t>2 路 Grace + 4 块模组</t>
        </is>
      </c>
      <c r="K15" s="23" t="inlineStr">
        <is>
          <t>约 6.2 kW，项目功率。</t>
        </is>
      </c>
      <c r="L15" s="98" t="inlineStr">
        <is>
          <t>PG25</t>
        </is>
      </c>
      <c r="M15" s="106">
        <f>C15*60000/(工质物性!$C$6*工质物性!$D$6*工质物性!$B$37)</f>
        <v/>
      </c>
      <c r="N15" s="101">
        <f>IF(M15=0,"",C15*60000/(工质物性!$C$6*M15*工质物性!$D$6))</f>
        <v/>
      </c>
      <c r="O15" s="101">
        <f>IF(F15=0,"",C15*60000/(工质物性!$C$6*F15*工质物性!$D$6))</f>
        <v/>
      </c>
      <c r="P15" s="122">
        <f>C15/1000*工质物性!$B$14</f>
        <v/>
      </c>
      <c r="Q15" s="115">
        <f>IF(P15=0,"",C15*60000/(工质物性!$C$5*P15*工质物性!$D$5))</f>
        <v/>
      </c>
      <c r="R15" s="14" t="n"/>
      <c r="S15" s="14" t="n"/>
      <c r="T15" s="14" t="n"/>
    </row>
    <row r="16" ht="36" customHeight="1" s="59">
      <c r="A16" s="60" t="inlineStr">
        <is>
          <t>NVL72</t>
        </is>
      </c>
      <c r="B16" s="60" t="inlineStr">
        <is>
          <t>项目</t>
        </is>
      </c>
      <c r="C16" s="77" t="n">
        <v>140000</v>
      </c>
      <c r="D16" s="21" t="n">
        <v>350</v>
      </c>
      <c r="E16" s="21" t="n">
        <v>380</v>
      </c>
      <c r="F16" s="78">
        <f>C16*60000/(工质物性!$C$5*工质物性!$D$5*工质物性!$B$37)</f>
        <v/>
      </c>
      <c r="G16" s="22">
        <f>IF(F16=0,"",C16*60000/(工质物性!$C$5*F16*工质物性!$D$5))</f>
        <v/>
      </c>
      <c r="H16" s="25">
        <f>TEXT(工质物性!$B$17,"0.0")&amp;"–"&amp;TEXT(工质物性!$B$18,"0.0")&amp;" °C"</f>
        <v/>
      </c>
      <c r="I16" s="60" t="inlineStr">
        <is>
          <t>—</t>
        </is>
      </c>
      <c r="J16" s="65" t="inlineStr">
        <is>
          <t>18 个计算托盘 + 9 个交换托盘，交换托盘不拆开。</t>
        </is>
      </c>
      <c r="K16" s="94" t="inlineStr">
        <is>
          <t>本行设计点是 PG25：项目 140 kW 按工质物性 B37 的 6 °C 闭合。算出来靠近原分配表 350–380 L/min，但是按 6 °C 新算的，不是把 D、E 列恢复成指标。上一版 1.5 L/(min·kW) 在 P、Q 列，约 10 °C，是邻值。Lenovo 表 27 的 177 L/min 是 45 °C 供液下的整柜要求流量，工质可为去离子水或 PG25，表 27 没有分开两条曲线。177 L/min 配项目 140 kW 的温升高于 6 °C，不替换本行，也不另造一条曲线。表 27 其余点 59/71/89/119 L/min 仍对应 25/30/35/40 °C。6 °C 比 OCP 下沿 7.5 °C 更紧，是项目要求，不是 OCP 或 NVIDIA 的额定温升。</t>
        </is>
      </c>
      <c r="L16" s="107" t="inlineStr">
        <is>
          <t>PG25</t>
        </is>
      </c>
      <c r="M16" s="106">
        <f>C16*60000/(工质物性!$C$6*工质物性!$D$6*工质物性!$B$37)</f>
        <v/>
      </c>
      <c r="N16" s="101">
        <f>IF(M16=0,"",C16*60000/(工质物性!$C$6*M16*工质物性!$D$6))</f>
        <v/>
      </c>
      <c r="O16" s="101">
        <f>IF(F16=0,"",C16*60000/(工质物性!$C$6*F16*工质物性!$D$6))</f>
        <v/>
      </c>
      <c r="P16" s="122">
        <f>C16/1000*工质物性!$B$14</f>
        <v/>
      </c>
      <c r="Q16" s="115">
        <f>IF(P16=0,"",C16*60000/(工质物性!$C$5*P16*工质物性!$D$5))</f>
        <v/>
      </c>
      <c r="R16" s="14" t="n"/>
      <c r="S16" s="14" t="n"/>
      <c r="T16" s="14" t="n"/>
    </row>
    <row r="17" ht="16.5" customHeight="1" s="59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 ht="27.95" customHeight="1" s="59">
      <c r="A18" s="64" t="inlineStr">
        <is>
          <t>对照</t>
        </is>
      </c>
      <c r="B18" s="61" t="n"/>
      <c r="C18" s="61" t="n"/>
      <c r="D18" s="61" t="n"/>
      <c r="E18" s="62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 ht="27.95" customHeight="1" s="59">
      <c r="A19" s="27" t="inlineStr">
        <is>
          <t>对照项</t>
        </is>
      </c>
      <c r="B19" s="19" t="inlineStr">
        <is>
          <t>差值</t>
        </is>
      </c>
      <c r="C19" s="19" t="inlineStr">
        <is>
          <t>单位</t>
        </is>
      </c>
      <c r="D19" s="27" t="inlineStr">
        <is>
          <t>说明</t>
        </is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 ht="21.95" customHeight="1" s="59">
      <c r="A20" s="65" t="inlineStr">
        <is>
          <t>八倍单颗功率减八堆</t>
        </is>
      </c>
      <c r="B20" s="78">
        <f>C12-C8</f>
        <v/>
      </c>
      <c r="C20" s="23" t="inlineStr">
        <is>
          <t>W</t>
        </is>
      </c>
      <c r="D20" s="65" t="inlineStr">
        <is>
          <t>43.7×8 与八堆 350 W 的差。两行都保留。</t>
        </is>
      </c>
      <c r="E20" s="61" t="n"/>
      <c r="F20" s="61" t="n"/>
      <c r="G20" s="61" t="n"/>
      <c r="H20" s="61" t="n"/>
      <c r="I20" s="61" t="n"/>
      <c r="J20" s="61" t="n"/>
      <c r="K20" s="62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 ht="21.95" customHeight="1" s="59">
      <c r="A21" s="65" t="inlineStr">
        <is>
          <t>八倍单颗推荐流量减八堆</t>
        </is>
      </c>
      <c r="B21" s="78">
        <f>F12-F8</f>
        <v/>
      </c>
      <c r="C21" s="23" t="inlineStr">
        <is>
          <t>L/min</t>
        </is>
      </c>
      <c r="D21" s="65" t="inlineStr">
        <is>
          <t>比流量相同，差只来自 349.6 W 与 350 W。</t>
        </is>
      </c>
      <c r="E21" s="61" t="n"/>
      <c r="F21" s="61" t="n"/>
      <c r="G21" s="61" t="n"/>
      <c r="H21" s="61" t="n"/>
      <c r="I21" s="61" t="n"/>
      <c r="J21" s="61" t="n"/>
      <c r="K21" s="62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 ht="21.95" customHeight="1" s="59">
      <c r="A22" s="65" t="inlineStr">
        <is>
          <t>三路推荐流量减模组</t>
        </is>
      </c>
      <c r="B22" s="78">
        <f>F11-F6</f>
        <v/>
      </c>
      <c r="C22" s="23" t="inlineStr">
        <is>
          <t>L/min</t>
        </is>
      </c>
      <c r="D22" s="65" t="inlineStr">
        <is>
          <t>分项与模组用同一比流量时，差应为 0。</t>
        </is>
      </c>
      <c r="E22" s="61" t="n"/>
      <c r="F22" s="61" t="n"/>
      <c r="G22" s="61" t="n"/>
      <c r="H22" s="61" t="n"/>
      <c r="I22" s="61" t="n"/>
      <c r="J22" s="61" t="n"/>
      <c r="K22" s="62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 ht="21.95" customHeight="1" s="59">
      <c r="A23" s="65" t="inlineStr">
        <is>
          <t>单颗推荐流量</t>
        </is>
      </c>
      <c r="B23" s="78">
        <f>F9</f>
        <v/>
      </c>
      <c r="C23" s="23" t="inlineStr">
        <is>
          <t>L/min</t>
        </is>
      </c>
      <c r="D23" s="94" t="inlineStr">
        <is>
          <t>单颗按 PG25、设计要求 B37 的 6 °C 闭合的流量。Q = P × 60000 / (ρ · cp · B37)。</t>
        </is>
      </c>
      <c r="E23" s="61" t="n"/>
      <c r="F23" s="61" t="n"/>
      <c r="G23" s="61" t="n"/>
      <c r="H23" s="61" t="n"/>
      <c r="I23" s="61" t="n"/>
      <c r="J23" s="61" t="n"/>
      <c r="K23" s="62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 ht="21.95" customHeight="1" s="59">
      <c r="A24" s="65" t="inlineStr">
        <is>
          <t>单颗设计流体温升</t>
        </is>
      </c>
      <c r="B24" s="78">
        <f>G9</f>
        <v/>
      </c>
      <c r="C24" s="23" t="inlineStr">
        <is>
          <t>°C</t>
        </is>
      </c>
      <c r="D24" s="94" t="inlineStr">
        <is>
          <t>ΔT = P / (ρ · Q · cp)，ρ 与 cp 取 PG25。应等于工质物性 B37 的 6 °C。6 °C 比 OCP 下沿 7.5 °C 更紧，是项目要求，不是 OCP 或 NVIDIA 的额定温升。这是冷却液温升，不是表面极差。</t>
        </is>
      </c>
      <c r="E24" s="61" t="n"/>
      <c r="F24" s="61" t="n"/>
      <c r="G24" s="61" t="n"/>
      <c r="H24" s="61" t="n"/>
      <c r="I24" s="61" t="n"/>
      <c r="J24" s="61" t="n"/>
      <c r="K24" s="62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 ht="21.95" customHeight="1" s="59">
      <c r="A25" s="94" t="inlineStr">
        <is>
          <t>原分配表·PG25 单颗上沿减推荐流量</t>
        </is>
      </c>
      <c r="B25" s="78">
        <f>E9-F9</f>
        <v/>
      </c>
      <c r="C25" s="23" t="inlineStr">
        <is>
          <t>L/min</t>
        </is>
      </c>
      <c r="D25" s="65" t="inlineStr">
        <is>
          <t>原分配表单颗上沿减去本版推荐流量。原分配表流量仍更高。那一档是为了去追已经撤下的 2.5 °C，不是本版设计点。6 °C 是冷却液温升，不恢复表面极差要求。</t>
        </is>
      </c>
      <c r="E25" s="61" t="n"/>
      <c r="F25" s="61" t="n"/>
      <c r="G25" s="61" t="n"/>
      <c r="H25" s="61" t="n"/>
      <c r="I25" s="61" t="n"/>
      <c r="J25" s="61" t="n"/>
      <c r="K25" s="62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 ht="16.5" customHeight="1" s="59">
      <c r="A26" s="97" t="inlineStr">
        <is>
          <t>上一版单颗流量</t>
        </is>
      </c>
      <c r="B26" s="122">
        <f>P9</f>
        <v/>
      </c>
      <c r="C26" s="97" t="inlineStr">
        <is>
          <t>L/min</t>
        </is>
      </c>
      <c r="D26" s="97" t="inlineStr">
        <is>
          <t>上一版 1.5 L/(min·kW)。温升见 Q9，约 10 °C。不是本版设计点。</t>
        </is>
      </c>
      <c r="E26" s="112" t="n"/>
      <c r="F26" s="112" t="n"/>
      <c r="G26" s="112" t="n"/>
      <c r="H26" s="112" t="n"/>
      <c r="I26" s="112" t="n"/>
      <c r="J26" s="112" t="n"/>
      <c r="K26" s="113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 ht="48" customHeight="1" s="59">
      <c r="A27" s="58" t="inlineStr">
        <is>
          <t>流路边界：GPU 区保持冲击射流。HBM 保持微通道，每颗中心进液、两侧出水，不改成冲击孔。Grace 的 CPU 与 LPDDR 不新设中心进液。孔速上限 2.0 m/s 与 HBM 近壁 0.80 m/s 是项目限值，不是厂商表面温差条款。2026-09-30：流量按项目要求 6 °C 重算。6 °C 比 OCP 下沿 7.5 °C 更紧，不是表面极差。GPU 仍是 216 × 0.50 mm 冲击射流。HBM 仍是 7 × 0.80 mm × 2.00 mm，每颗中心进液、两侧出水。CPU 与 LPDDR 不新设中心进液。</t>
        </is>
      </c>
      <c r="R27" s="14" t="n"/>
      <c r="S27" s="14" t="n"/>
      <c r="T27" s="14" t="n"/>
    </row>
    <row r="28" ht="64" customHeight="1" s="59">
      <c r="A28" s="93" t="inlineStr">
        <is>
          <t>L 列是设计点工质，以上各行都是 PG25。D、E 列原分配表也是 PG25，不是水。F、G 列按项目要求 6 °C 闭合。6 °C 比 OCP 下沿 7.5 °C 更紧。P、Q 列是上一版约 10 °C、1.5 L/(min·kW)。M、N 列是水·等6°C对照：流量 = 功率_W × 60000 / (水的密度 × 比热 × 工质物性!B37)，温升用的是水的密度和比热（工质物性 C6、D6），应等于 B37。机柜一行会靠近原分配表 350–380 L/min，那不是把 D、E 列恢复成指标。O 列把 F 列的 PG25 设计体积流量保持不变，只把物性换成水以后的温升。M、N、O 都不是设计点。八倍单颗与八堆的 0.4 W 差额在水对照和上一版里同样保留。</t>
        </is>
      </c>
      <c r="R28" s="14" t="n"/>
      <c r="S28" s="14" t="n"/>
      <c r="T28" s="14" t="n"/>
    </row>
    <row r="29" ht="16.5" customHeight="1" s="5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 ht="16.5" customHeight="1" s="59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 ht="16.5" customHeight="1" s="59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 ht="16.5" customHeight="1" s="59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 ht="16.5" customHeight="1" s="59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 ht="16.5" customHeight="1" s="59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 ht="16.5" customHeight="1" s="59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 ht="16.5" customHeight="1" s="59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 ht="16.5" customHeight="1" s="59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 ht="16.5" customHeight="1" s="59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 ht="16.5" customHeight="1" s="5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 ht="16.5" customHeight="1" s="59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</sheetData>
  <autoFilter ref="A4:P16"/>
  <mergeCells count="24">
    <mergeCell ref="F4:G4"/>
    <mergeCell ref="D20:K20"/>
    <mergeCell ref="P4:Q4"/>
    <mergeCell ref="D26:K26"/>
    <mergeCell ref="C4:C5"/>
    <mergeCell ref="O4:O5"/>
    <mergeCell ref="D22:K22"/>
    <mergeCell ref="D21:K21"/>
    <mergeCell ref="J4:J5"/>
    <mergeCell ref="L4:L5"/>
    <mergeCell ref="A18:E18"/>
    <mergeCell ref="A27:Q27"/>
    <mergeCell ref="A4:A5"/>
    <mergeCell ref="I4:I5"/>
    <mergeCell ref="K4:K5"/>
    <mergeCell ref="A2:Q2"/>
    <mergeCell ref="D4:E4"/>
    <mergeCell ref="B4:B5"/>
    <mergeCell ref="D25:K25"/>
    <mergeCell ref="H4:H5"/>
    <mergeCell ref="D24:K24"/>
    <mergeCell ref="A28:Q28"/>
    <mergeCell ref="D23:K23"/>
    <mergeCell ref="M4:N4"/>
  </mergeCells>
  <printOptions horizontalCentered="1"/>
  <pageMargins left="0.4" right="0.4" top="0.55" bottom="0.45" header="0.25" footer="0.25"/>
  <pageSetup orientation="landscape" paperSize="9" fitToHeight="2" fitToWidth="1"/>
  <headerFooter>
    <oddHeader>&amp;LGB300 冷板 · PG25 热量与流量 · 2026-09-29&amp;C分配表</oddHeader>
    <oddFooter>&amp;RA4 · 表面极差官方限值未公开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B2748"/>
    <outlinePr summaryBelow="1" summaryRight="1"/>
    <pageSetUpPr fitToPage="1"/>
  </sheetPr>
  <dimension ref="A1:G26"/>
  <sheetViews>
    <sheetView showGridLines="0" zoomScale="110" zoomScaleNormal="110" workbookViewId="0">
      <pane ySplit="13" topLeftCell="A14" activePane="bottomLeft" state="frozen"/>
      <selection pane="bottomLeft" activeCell="A1" sqref="A1"/>
    </sheetView>
  </sheetViews>
  <sheetFormatPr baseColWidth="8" defaultColWidth="9" defaultRowHeight="13.5"/>
  <cols>
    <col width="46" customWidth="1" style="59" min="1" max="1"/>
    <col width="18" customWidth="1" style="59" min="2" max="2"/>
    <col width="16" customWidth="1" style="59" min="3" max="3"/>
    <col width="18" customWidth="1" style="59" min="4" max="4"/>
    <col width="14" customWidth="1" style="59" min="5" max="5"/>
    <col width="18" customWidth="1" style="59" min="6" max="6"/>
    <col width="42" customWidth="1" style="59" min="7" max="7"/>
  </cols>
  <sheetData>
    <row r="1" ht="21" customHeight="1" s="59">
      <c r="A1" s="1" t="inlineStr">
        <is>
          <t>GPU 冲击射流</t>
        </is>
      </c>
    </row>
    <row r="2" ht="60" customHeight="1" s="59">
      <c r="A2" s="93" t="inlineStr">
        <is>
          <t>孔速 V = (流量_L/min / 60000) / (孔数 × π × 孔径_mm² / 4 / 1000000)。孔速上限 2.0 m/s 是项目限值，与 HBM 近壁 0.80 m/s 分开。原分配表·PG25 的流量仍用来校核孔速上沿。第 19、20 行是 6 °C 设计点，流量取 B12，即分配表 GPU 核心 F7，工质是 PG25。6 °C 比 OCP 下沿 7.5 °C 更紧，不是 1.5 L/(min·kW)。水基线 1.60 L/min 单独一行，是 1100 W 档的水候选，不用 PG25 物性，也不是这个 6 °C 点。流路仍是 216 孔冲击射流，不改成微通道。</t>
        </is>
      </c>
    </row>
    <row r="4" ht="16.5" customHeight="1" s="59">
      <c r="A4" s="2" t="inlineStr">
        <is>
          <t>孔数</t>
        </is>
      </c>
      <c r="B4" s="5" t="n">
        <v>216</v>
      </c>
    </row>
    <row r="5" ht="16.5" customHeight="1" s="59">
      <c r="A5" s="2" t="inlineStr">
        <is>
          <t>v2.0 孔径_mm</t>
        </is>
      </c>
      <c r="B5" s="13" t="n">
        <v>0.5</v>
      </c>
    </row>
    <row r="6" ht="16.5" customHeight="1" s="59">
      <c r="A6" s="2" t="inlineStr">
        <is>
          <t>UC01b 孔径_mm</t>
        </is>
      </c>
      <c r="B6" s="13" t="n">
        <v>0.4</v>
      </c>
    </row>
    <row r="7" ht="16.5" customHeight="1" s="59">
      <c r="A7" s="2" t="inlineStr">
        <is>
          <t>孔速上限_m_s</t>
        </is>
      </c>
      <c r="B7" s="13" t="n">
        <v>2</v>
      </c>
    </row>
    <row r="8" ht="16.5" customHeight="1" s="59">
      <c r="A8" s="94" t="inlineStr">
        <is>
          <t>原分配表·PG25 GPU区流量下限_L_min</t>
        </is>
      </c>
      <c r="B8" s="4">
        <f>分配表!D7</f>
        <v/>
      </c>
    </row>
    <row r="9" ht="16.5" customHeight="1" s="59">
      <c r="A9" s="94" t="inlineStr">
        <is>
          <t>原分配表·PG25 GPU区流量上限_L_min</t>
        </is>
      </c>
      <c r="B9" s="4">
        <f>分配表!E7</f>
        <v/>
      </c>
    </row>
    <row r="10" ht="16.5" customHeight="1" s="59">
      <c r="A10" s="2" t="inlineStr">
        <is>
          <t>孔口阻力系数</t>
        </is>
      </c>
      <c r="B10" s="70" t="n">
        <v>1.8</v>
      </c>
    </row>
    <row r="11" ht="16.5" customHeight="1" s="59">
      <c r="A11" s="94" t="inlineStr">
        <is>
          <t>水·v2.0基线 GPU流量_L_min</t>
        </is>
      </c>
      <c r="B11" s="13" t="n">
        <v>1.6</v>
      </c>
    </row>
    <row r="12" ht="42.75" customHeight="1" s="59">
      <c r="A12" s="93" t="inlineStr">
        <is>
          <t>PG25·6°C设计流量_L_min</t>
        </is>
      </c>
      <c r="B12" s="84">
        <f>分配表!F7</f>
        <v/>
      </c>
      <c r="C12" s="58" t="inlineStr">
        <is>
          <t>GPU 核心。6 °C 设计点。流量取分配表 F7。孔速上限仍是 B7 的 2.0 m/s。</t>
        </is>
      </c>
    </row>
    <row r="13" ht="32.1" customHeight="1" s="59">
      <c r="A13" s="9" t="inlineStr">
        <is>
          <t>孔径_mm</t>
        </is>
      </c>
      <c r="B13" s="9" t="inlineStr">
        <is>
          <t>流量_L_min</t>
        </is>
      </c>
      <c r="C13" s="9" t="inlineStr">
        <is>
          <t>孔速_m_s</t>
        </is>
      </c>
      <c r="D13" s="9" t="inlineStr">
        <is>
          <t>相对 2.0 m/s</t>
        </is>
      </c>
      <c r="E13" s="9" t="inlineStr">
        <is>
          <t>雷诺数</t>
        </is>
      </c>
      <c r="F13" s="9" t="inlineStr">
        <is>
          <t>孔口压降_kPa</t>
        </is>
      </c>
      <c r="G13" s="9" t="inlineStr">
        <is>
          <t>工质与说明</t>
        </is>
      </c>
    </row>
    <row r="14" ht="16.5" customHeight="1" s="59">
      <c r="A14" s="4">
        <f>$B$5</f>
        <v/>
      </c>
      <c r="B14" s="4">
        <f>$B$8</f>
        <v/>
      </c>
      <c r="C14" s="85">
        <f>(B14/60000)/($B$4*PI()*(A14^2)/4/1000000)</f>
        <v/>
      </c>
      <c r="D14" s="10">
        <f>IF(C14&lt;=$B$7,"通过","不通过")</f>
        <v/>
      </c>
      <c r="E14" s="86">
        <f>工质物性!$C$5*C14*(A14/1000)/工质物性!$E$5</f>
        <v/>
      </c>
      <c r="F14" s="85">
        <f>$B$10*工质物性!$C$5*C14^2/2/1000</f>
        <v/>
      </c>
      <c r="G14" s="6" t="inlineStr">
        <is>
          <t>PG25，v2.0 孔径，流量下沿</t>
        </is>
      </c>
    </row>
    <row r="15" ht="16.5" customHeight="1" s="59">
      <c r="A15" s="4">
        <f>$B$5</f>
        <v/>
      </c>
      <c r="B15" s="4">
        <f>$B$9</f>
        <v/>
      </c>
      <c r="C15" s="85">
        <f>(B15/60000)/($B$4*PI()*(A15^2)/4/1000000)</f>
        <v/>
      </c>
      <c r="D15" s="10">
        <f>IF(C15&lt;=$B$7,"通过","不通过")</f>
        <v/>
      </c>
      <c r="E15" s="86">
        <f>工质物性!$C$5*C15*(A15/1000)/工质物性!$E$5</f>
        <v/>
      </c>
      <c r="F15" s="85">
        <f>$B$10*工质物性!$C$5*C15^2/2/1000</f>
        <v/>
      </c>
      <c r="G15" s="6" t="inlineStr">
        <is>
          <t>PG25，v2.0 孔径，2.6 L/min 校核点</t>
        </is>
      </c>
    </row>
    <row r="16" ht="16.5" customHeight="1" s="59">
      <c r="A16" s="4">
        <f>$B$6</f>
        <v/>
      </c>
      <c r="B16" s="4">
        <f>$B$8</f>
        <v/>
      </c>
      <c r="C16" s="85">
        <f>(B16/60000)/($B$4*PI()*(A16^2)/4/1000000)</f>
        <v/>
      </c>
      <c r="D16" s="10">
        <f>IF(C16&lt;=$B$7,"通过","不通过")</f>
        <v/>
      </c>
      <c r="E16" s="86">
        <f>工质物性!$C$5*C16*(A16/1000)/工质物性!$E$5</f>
        <v/>
      </c>
      <c r="F16" s="85">
        <f>$B$10*工质物性!$C$5*C16^2/2/1000</f>
        <v/>
      </c>
      <c r="G16" s="6" t="inlineStr">
        <is>
          <t>PG25，UC01b 孔径，流量下沿</t>
        </is>
      </c>
    </row>
    <row r="17" ht="16.5" customHeight="1" s="59">
      <c r="A17" s="4">
        <f>$B$6</f>
        <v/>
      </c>
      <c r="B17" s="4">
        <f>$B$9</f>
        <v/>
      </c>
      <c r="C17" s="85">
        <f>(B17/60000)/($B$4*PI()*(A17^2)/4/1000000)</f>
        <v/>
      </c>
      <c r="D17" s="10">
        <f>IF(C17&lt;=$B$7,"通过","不通过")</f>
        <v/>
      </c>
      <c r="E17" s="86">
        <f>工质物性!$C$5*C17*(A17/1000)/工质物性!$E$5</f>
        <v/>
      </c>
      <c r="F17" s="85">
        <f>$B$10*工质物性!$C$5*C17^2/2/1000</f>
        <v/>
      </c>
      <c r="G17" s="6" t="inlineStr">
        <is>
          <t>PG25，UC01b 孔径，2.6 L/min 校核点</t>
        </is>
      </c>
    </row>
    <row r="18" ht="16.5" customHeight="1" s="59">
      <c r="A18" s="4">
        <f>$B$5</f>
        <v/>
      </c>
      <c r="B18" s="4">
        <f>$B$11</f>
        <v/>
      </c>
      <c r="C18" s="85">
        <f>(B18/60000)/($B$4*PI()*(A18^2)/4/1000000)</f>
        <v/>
      </c>
      <c r="D18" s="10">
        <f>IF(C18&lt;=$B$7,"通过","不通过")</f>
        <v/>
      </c>
      <c r="E18" s="86">
        <f>工质物性!$C$6*C18*(A18/1000)/工质物性!$E$6</f>
        <v/>
      </c>
      <c r="F18" s="85">
        <f>$B$10*工质物性!$C$6*C18^2/2/1000</f>
        <v/>
      </c>
      <c r="G18" s="6" t="inlineStr">
        <is>
          <t>水基线，v2.0 的 1.60 L/min</t>
        </is>
      </c>
    </row>
    <row r="19" ht="16.5" customHeight="1" s="59">
      <c r="A19" s="49">
        <f>$B$5</f>
        <v/>
      </c>
      <c r="B19" s="87">
        <f>$B$12</f>
        <v/>
      </c>
      <c r="C19" s="88">
        <f>(B19/60000)/($B$4*PI()*(A19^2)/4/1000000)</f>
        <v/>
      </c>
      <c r="D19" s="52">
        <f>IF(C19&lt;=$B$7,"通过","不通过")</f>
        <v/>
      </c>
      <c r="E19" s="89">
        <f>工质物性!$C$5*C19*(A19/1000)/工质物性!$E$5</f>
        <v/>
      </c>
      <c r="F19" s="88">
        <f>$B$10*工质物性!$C$5*C19^2/2/1000</f>
        <v/>
      </c>
      <c r="G19" s="52" t="inlineStr">
        <is>
          <t>PG25，0.50 mm，6 °C 设计点。流量是 B12。</t>
        </is>
      </c>
    </row>
    <row r="20" ht="16.5" customHeight="1" s="59">
      <c r="A20" s="49">
        <f>$B$6</f>
        <v/>
      </c>
      <c r="B20" s="87">
        <f>$B$12</f>
        <v/>
      </c>
      <c r="C20" s="88">
        <f>(B20/60000)/($B$4*PI()*(A20^2)/4/1000000)</f>
        <v/>
      </c>
      <c r="D20" s="52">
        <f>IF(C20&lt;=$B$7,"通过","不通过")</f>
        <v/>
      </c>
      <c r="E20" s="89">
        <f>工质物性!$C$5*C20*(A20/1000)/工质物性!$E$5</f>
        <v/>
      </c>
      <c r="F20" s="88">
        <f>$B$10*工质物性!$C$5*C20^2/2/1000</f>
        <v/>
      </c>
      <c r="G20" s="52" t="inlineStr">
        <is>
          <t>PG25，0.40 mm，6 °C 设计点。流量是 B12。</t>
        </is>
      </c>
    </row>
    <row r="22" ht="32.1" customHeight="1" s="59">
      <c r="A22" s="54" t="inlineStr">
        <is>
          <t>原分配表上沿、216 孔、孔速恰好 2.0 m/s 的孔径_mm</t>
        </is>
      </c>
      <c r="B22" s="90">
        <f>1000*SQRT(4*($B$9/60000)/($B$4*PI()*$B$7))</f>
        <v/>
      </c>
      <c r="C22" s="123" t="inlineStr">
        <is>
          <t>这是原分配表上沿的孔径下限。比它更小的孔，在原分配表上沿会超过 2.0 m/s。6 °C 设计流量低于原分配表上沿，孔速更小。0.40 mm 和 0.50 mm 都大于这个下限。</t>
        </is>
      </c>
    </row>
    <row r="24" ht="32.1" customHeight="1" s="59">
      <c r="A24" s="67">
        <f>IF(AND(D14="通过",D15="通过",D16="通过",D17="通过",D19="通过",D20="通过"),"0.50 mm 与 0.40 mm 在原分配表流量和 6 °C 设计点流量（B12）下都不超过 2.0 m/s。冷板采用 v2.0 的 216 个 0.50 mm 冲击孔。不改成更小的孔，也不改成齿距小于 0.1 mm 的翅片。","有一档孔径在校核流量下超过 2.0 m/s。超过的那一档不采用。")</f>
        <v/>
      </c>
      <c r="B24" s="61" t="n"/>
      <c r="C24" s="61" t="n"/>
      <c r="D24" s="61" t="n"/>
      <c r="E24" s="61" t="n"/>
      <c r="F24" s="61" t="n"/>
      <c r="G24" s="62" t="n"/>
    </row>
    <row r="26" ht="82.5" customHeight="1" s="59">
      <c r="A26" s="63" t="inlineStr">
        <is>
          <t>Martin 1977 的面平均关联式下限是 Re = 2000。上表雷诺数都低于 2000，本版仍不使用 Martin。孔口压降远低于整板 20 kPa 上限。v2.0 的整板 3.5–5.5 kPa 是水、2.0 L/min 的基线，其中静压箱 3–5 kPa 是估值。本表不把那一档外推成 PG25 整板压降。</t>
        </is>
      </c>
    </row>
  </sheetData>
  <mergeCells count="3">
    <mergeCell ref="C22:G22"/>
    <mergeCell ref="A24:G24"/>
    <mergeCell ref="A2:G2"/>
  </mergeCells>
  <conditionalFormatting sqref="D14:D18">
    <cfRule type="expression" priority="1" dxfId="1">
      <formula>D14="通过"</formula>
    </cfRule>
    <cfRule type="expression" priority="2" dxfId="0">
      <formula>D14="不通过"</formula>
    </cfRule>
  </conditionalFormatting>
  <printOptions horizontalCentered="1"/>
  <pageMargins left="0.4" right="0.4" top="0.6" bottom="0.5" header="0.25" footer="0.25"/>
  <pageSetup orientation="landscape" paperSize="9" fitToHeight="0" fitToWidth="1"/>
  <headerFooter>
    <oddHeader>&amp;LGB300 冷板 · PG25 · 2026-09-29</oddHeader>
    <oddFooter>&amp;RA4  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0B2748"/>
    <outlinePr summaryBelow="1" summaryRight="1"/>
    <pageSetUpPr fitToPage="1"/>
  </sheetPr>
  <dimension ref="A1:E50"/>
  <sheetViews>
    <sheetView showGridLines="0" zoomScale="110" zoomScaleNormal="110" workbookViewId="0">
      <pane ySplit="28" topLeftCell="A29" activePane="bottomLeft" state="frozen"/>
      <selection pane="bottomLeft" activeCell="A1" sqref="A1"/>
    </sheetView>
  </sheetViews>
  <sheetFormatPr baseColWidth="8" defaultColWidth="9" defaultRowHeight="13.5"/>
  <cols>
    <col width="46" customWidth="1" style="59" min="1" max="1"/>
    <col width="18" customWidth="1" style="59" min="2" max="3"/>
    <col width="22" customWidth="1" style="59" min="4" max="4"/>
    <col width="24" customWidth="1" style="59" min="5" max="5"/>
  </cols>
  <sheetData>
    <row r="1" ht="21" customHeight="1" s="59">
      <c r="A1" s="1" t="inlineStr">
        <is>
          <t>HBM 单颗 · 中心进液、两侧出水</t>
        </is>
      </c>
    </row>
    <row r="2" ht="64" customHeight="1" s="59">
      <c r="A2" s="93" t="inlineStr">
        <is>
          <t>直槽用保留截面：7 × 0.80 mm × 2.00 mm。单颗中心进液、两侧出水，每侧约 5.5 mm。八颗并联。不是冲击孔。0.15–0.18 L/min 是原分配表·PG25。设计流量按 PG25、项目要求冷却液温升 6 °C 闭合，见第 26 行（分配表 F9）。6 °C 比 OCP 下沿 7.5 °C 更紧。不再按 1.5 L/(min·kW)，也不再按 2.5 °C 反算。表面极差官方限值未公开，6 °C 不恢复 ≤2.5 °C，也不是表面极差。近壁 0.80 m/s 仍是项目限值。能量平衡温升 = 功率 × 60000 / (密度 × 流量 × 比热)，密度和比热取 PG25。半热量除以半流量得到同一个温升。E 列用第 26 行 B26 的 6 °C 设计流量重算流速和压降，不是原分配表流量。</t>
        </is>
      </c>
    </row>
    <row r="4" ht="16.5" customHeight="1" s="59">
      <c r="A4" s="2" t="inlineStr">
        <is>
          <t>槽数</t>
        </is>
      </c>
      <c r="B4" s="5" t="n">
        <v>7</v>
      </c>
    </row>
    <row r="5" ht="16.5" customHeight="1" s="59">
      <c r="A5" s="2" t="inlineStr">
        <is>
          <t>槽宽_mm</t>
        </is>
      </c>
      <c r="B5" s="13" t="n">
        <v>0.8</v>
      </c>
    </row>
    <row r="6" ht="16.5" customHeight="1" s="59">
      <c r="A6" s="2" t="inlineStr">
        <is>
          <t>槽高_mm</t>
        </is>
      </c>
      <c r="B6" s="13" t="n">
        <v>2</v>
      </c>
    </row>
    <row r="7" ht="16.5" customHeight="1" s="59">
      <c r="A7" s="2" t="inlineStr">
        <is>
          <t>肋宽_mm</t>
        </is>
      </c>
      <c r="B7" s="13" t="n">
        <v>0.8</v>
      </c>
    </row>
    <row r="8" ht="16.5" customHeight="1" s="59">
      <c r="A8" s="2" t="inlineStr">
        <is>
          <t>岸宽_mm</t>
        </is>
      </c>
      <c r="B8" s="13" t="n">
        <v>0.3</v>
      </c>
    </row>
    <row r="9" ht="16.5" customHeight="1" s="59">
      <c r="A9" s="2" t="inlineStr">
        <is>
          <t>列宽_mm</t>
        </is>
      </c>
      <c r="B9" s="13" t="n">
        <v>11</v>
      </c>
    </row>
    <row r="10" ht="16.5" customHeight="1" s="59">
      <c r="A10" s="2" t="inlineStr">
        <is>
          <t>单颗功率_W</t>
        </is>
      </c>
      <c r="B10" s="86">
        <f>分配表!C9</f>
        <v/>
      </c>
    </row>
    <row r="11" ht="16.5" customHeight="1" s="59">
      <c r="A11" s="94" t="inlineStr">
        <is>
          <t>原分配表·PG25 流量下限_L_min</t>
        </is>
      </c>
      <c r="B11" s="4">
        <f>分配表!D9</f>
        <v/>
      </c>
    </row>
    <row r="12" ht="16.5" customHeight="1" s="59">
      <c r="A12" s="94" t="inlineStr">
        <is>
          <t>原分配表·PG25 流量上限_L_min</t>
        </is>
      </c>
      <c r="B12" s="4">
        <f>分配表!E9</f>
        <v/>
      </c>
    </row>
    <row r="13" ht="16.5" customHeight="1" s="59">
      <c r="A13" s="2" t="inlineStr">
        <is>
          <t>近壁流速上限_m_s</t>
        </is>
      </c>
      <c r="B13" s="13" t="n">
        <v>0.8</v>
      </c>
    </row>
    <row r="14" ht="16.5" customHeight="1" s="59">
      <c r="A14" s="2" t="inlineStr">
        <is>
          <t>表面极差官方限值</t>
        </is>
      </c>
      <c r="B14" s="4">
        <f>工质物性!B23</f>
        <v/>
      </c>
    </row>
    <row r="15" ht="16.5" customHeight="1" s="59">
      <c r="A15" s="2" t="inlineStr">
        <is>
          <t>铜导热_W_mK</t>
        </is>
      </c>
      <c r="B15" s="5" t="n">
        <v>390</v>
      </c>
    </row>
    <row r="16" ht="16.5" customHeight="1" s="59">
      <c r="A16" s="2" t="inlineStr">
        <is>
          <t>单颗长度_mm</t>
        </is>
      </c>
      <c r="B16" s="13" t="n">
        <v>11</v>
      </c>
    </row>
    <row r="17" ht="16.5" customHeight="1" s="59">
      <c r="A17" s="2" t="inlineStr">
        <is>
          <t>单侧腿长_mm</t>
        </is>
      </c>
      <c r="B17" s="13" t="n">
        <v>5.5</v>
      </c>
    </row>
    <row r="18" ht="16.5" customHeight="1" s="59">
      <c r="A18" s="2" t="inlineStr">
        <is>
          <t>假定分流阻力系数</t>
        </is>
      </c>
      <c r="B18" s="70" t="n">
        <v>1.5</v>
      </c>
    </row>
    <row r="20" ht="16.5" customHeight="1" s="59">
      <c r="A20" s="2" t="inlineStr">
        <is>
          <t>宽度链_mm</t>
        </is>
      </c>
      <c r="B20" s="85">
        <f>2*B8+B4*B5+(B4-1)*B7</f>
        <v/>
      </c>
      <c r="C20" s="10">
        <f>IF(ABS(B20-B9)&lt;0.001,"闭合","不闭合")</f>
        <v/>
      </c>
    </row>
    <row r="21" ht="49.5" customHeight="1" s="59">
      <c r="A21" s="2" t="inlineStr">
        <is>
          <t>槽深宽比</t>
        </is>
      </c>
      <c r="B21" s="4">
        <f>B6/B5</f>
        <v/>
      </c>
      <c r="C21" s="6" t="inlineStr">
        <is>
          <t>制造地板：肋 ≥ 0.30 mm，槽宽 ≥ 0.40 mm，深宽比 ≤ 5。</t>
        </is>
      </c>
    </row>
    <row r="22" ht="16.5" customHeight="1" s="59">
      <c r="A22" s="2" t="inlineStr">
        <is>
          <t>水力直径_mm</t>
        </is>
      </c>
      <c r="B22" s="85">
        <f>2*B5*B6/(B5+B6)</f>
        <v/>
      </c>
    </row>
    <row r="23" ht="16.5" customHeight="1" s="59">
      <c r="A23" s="2" t="inlineStr">
        <is>
          <t>普朗特数</t>
        </is>
      </c>
      <c r="B23" s="4">
        <f>工质物性!E5*工质物性!D5/工质物性!F5</f>
        <v/>
      </c>
    </row>
    <row r="24" ht="16.5" customHeight="1" s="59">
      <c r="A24" s="2" t="inlineStr">
        <is>
          <t>短边比长边</t>
        </is>
      </c>
      <c r="B24" s="85">
        <f>MIN(B5,B6)/MAX(B5,B6)</f>
        <v/>
      </c>
    </row>
    <row r="25" ht="16.5" customHeight="1" s="59">
      <c r="A25" s="2" t="inlineStr">
        <is>
          <t>矩形槽 fRe</t>
        </is>
      </c>
      <c r="B25" s="4">
        <f>24*(1-1.3553*B24+1.9467*B24^2-1.7012*B24^3+0.9564*B24^4-0.2537*B24^5)</f>
        <v/>
      </c>
    </row>
    <row r="26" ht="36" customHeight="1" s="59">
      <c r="A26" s="94" t="inlineStr">
        <is>
          <t>PG25·6°C设计流量_L_min</t>
        </is>
      </c>
      <c r="B26" s="91">
        <f>分配表!F9</f>
        <v/>
      </c>
      <c r="C26" s="60" t="inlineStr">
        <is>
          <t>6 °C 设计点。流量 = 分配表 F9，Q = P×60000/(ρ·cp·B37)。不再按 2.5 °C 反算流量。上一版 1.5 L/(min·kW) 在分配表 P、Q 列。</t>
        </is>
      </c>
    </row>
    <row r="27" ht="48" customHeight="1" s="59">
      <c r="A27" s="93" t="inlineStr">
        <is>
          <t>PG25推荐流量下流体温升_C</t>
        </is>
      </c>
      <c r="B27" s="7">
        <f>IF(B26=0,"",B10*60000/(工质物性!$C$5*B26*工质物性!$D$5))</f>
        <v/>
      </c>
      <c r="C27" s="58" t="inlineStr">
        <is>
          <t>应回到工质物性 B37 的 6.00 °C。6 °C 比 OCP 下沿 7.5 °C 更紧，是项目要求。E 列用 B26 这一流量做槽速和压降。B–D 列仍是原分配表流量。</t>
        </is>
      </c>
    </row>
    <row r="28" ht="32.1" customHeight="1" s="59">
      <c r="A28" s="9" t="inlineStr">
        <is>
          <t>量</t>
        </is>
      </c>
      <c r="B28" s="96" t="inlineStr">
        <is>
          <t>PG25·低流量</t>
        </is>
      </c>
      <c r="C28" s="96" t="inlineStr">
        <is>
          <t>PG25·中值</t>
        </is>
      </c>
      <c r="D28" s="96" t="inlineStr">
        <is>
          <t>PG25·高流量</t>
        </is>
      </c>
      <c r="E28" s="96" t="inlineStr">
        <is>
          <t>PG25·6°C设计点</t>
        </is>
      </c>
    </row>
    <row r="29" ht="16.5" customHeight="1" s="59">
      <c r="A29" s="2" t="inlineStr">
        <is>
          <t>流量_L_min</t>
        </is>
      </c>
      <c r="B29" s="85">
        <f>B11</f>
        <v/>
      </c>
      <c r="C29" s="85">
        <f>(B11+B12)/2</f>
        <v/>
      </c>
      <c r="D29" s="85">
        <f>B12</f>
        <v/>
      </c>
      <c r="E29" s="116">
        <f>B26</f>
        <v/>
      </c>
    </row>
    <row r="30" ht="16.5" customHeight="1" s="59">
      <c r="A30" s="2" t="inlineStr">
        <is>
          <t>满截面流速_m_s</t>
        </is>
      </c>
      <c r="B30" s="85">
        <f>(B29/60000)/($B$4*($B$5/1000)*($B$6/1000))</f>
        <v/>
      </c>
      <c r="C30" s="85">
        <f>(C29/60000)/($B$4*($B$5/1000)*($B$6/1000))</f>
        <v/>
      </c>
      <c r="D30" s="85">
        <f>(D29/60000)/($B$4*($B$5/1000)*($B$6/1000))</f>
        <v/>
      </c>
      <c r="E30" s="116">
        <f>(E29/60000)/($B$4*($B$5/1000)*($B$6/1000))</f>
        <v/>
      </c>
    </row>
    <row r="31" ht="16.5" customHeight="1" s="59">
      <c r="A31" s="2" t="inlineStr">
        <is>
          <t>腿内流速_m_s</t>
        </is>
      </c>
      <c r="B31" s="85">
        <f>B30/2</f>
        <v/>
      </c>
      <c r="C31" s="85">
        <f>C30/2</f>
        <v/>
      </c>
      <c r="D31" s="85">
        <f>D30/2</f>
        <v/>
      </c>
      <c r="E31" s="116">
        <f>E30/2</f>
        <v/>
      </c>
    </row>
    <row r="32" ht="16.5" customHeight="1" s="59">
      <c r="A32" s="2" t="inlineStr">
        <is>
          <t>腿内流速相对 0.80 m/s</t>
        </is>
      </c>
      <c r="B32" s="10">
        <f>IF(B31&lt;=$B$13,"通过","不通过")</f>
        <v/>
      </c>
      <c r="C32" s="10">
        <f>IF(C31&lt;=$B$13,"通过","不通过")</f>
        <v/>
      </c>
      <c r="D32" s="10">
        <f>IF(D31&lt;=$B$13,"通过","不通过")</f>
        <v/>
      </c>
      <c r="E32" s="110">
        <f>IF(E31&lt;=$B$13,"通过","不通过")</f>
        <v/>
      </c>
    </row>
    <row r="33" ht="16.5" customHeight="1" s="59">
      <c r="A33" s="2" t="inlineStr">
        <is>
          <t>满截面流速相对 0.80 m/s</t>
        </is>
      </c>
      <c r="B33" s="10">
        <f>IF(B30&lt;=$B$13,"通过","不通过")</f>
        <v/>
      </c>
      <c r="C33" s="10">
        <f>IF(C30&lt;=$B$13,"通过","不通过")</f>
        <v/>
      </c>
      <c r="D33" s="10">
        <f>IF(D30&lt;=$B$13,"通过","不通过")</f>
        <v/>
      </c>
      <c r="E33" s="110">
        <f>IF(E30&lt;=$B$13,"通过","不通过")</f>
        <v/>
      </c>
    </row>
    <row r="34" ht="16.5" customHeight="1" s="59">
      <c r="A34" s="2" t="inlineStr">
        <is>
          <t>能量平衡温升_C</t>
        </is>
      </c>
      <c r="B34" s="4">
        <f>IF(B29=0,"",$B$10*60000/(工质物性!$C$5*B29*工质物性!$D$5))</f>
        <v/>
      </c>
      <c r="C34" s="4">
        <f>IF(C29=0,"",$B$10*60000/(工质物性!$C$5*C29*工质物性!$D$5))</f>
        <v/>
      </c>
      <c r="D34" s="4">
        <f>IF(D29=0,"",$B$10*60000/(工质物性!$C$5*D29*工质物性!$D$5))</f>
        <v/>
      </c>
      <c r="E34" s="115">
        <f>IF(E29=0,"",$B$10*60000/(工质物性!$C$5*E29*工质物性!$D$5))</f>
        <v/>
      </c>
    </row>
    <row r="35" ht="16.5" customHeight="1" s="59">
      <c r="A35" s="2" t="inlineStr">
        <is>
          <t>原分配表温升相对官方带</t>
        </is>
      </c>
      <c r="B35" s="10">
        <f>IF(B34&lt;工质物性!$B$17,"低于带下沿",IF(B34&gt;工质物性!$B$18,"高于带上沿","落在带内"))</f>
        <v/>
      </c>
      <c r="C35" s="10">
        <f>IF(C34&lt;工质物性!$B$17,"低于带下沿",IF(C34&gt;工质物性!$B$18,"高于带上沿","落在带内"))</f>
        <v/>
      </c>
      <c r="D35" s="10">
        <f>IF(D34&lt;工质物性!$B$17,"低于带下沿",IF(D34&gt;工质物性!$B$18,"高于带上沿","落在带内"))</f>
        <v/>
      </c>
      <c r="E35" s="110">
        <f>"项目要求 "&amp;TEXT(工质物性!$B$37,"0.0")&amp;" °C，紧于OCP下沿 "&amp;TEXT(工质物性!$B$17,"0.0")&amp;" °C"</f>
        <v/>
      </c>
    </row>
    <row r="36" ht="16.5" customHeight="1" s="59">
      <c r="A36" s="2" t="inlineStr">
        <is>
          <t>腿内雷诺数</t>
        </is>
      </c>
      <c r="B36" s="86">
        <f>工质物性!$C$5*B31*($B$22/1000)/工质物性!$E$5</f>
        <v/>
      </c>
      <c r="C36" s="86">
        <f>工质物性!$C$5*C31*($B$22/1000)/工质物性!$E$5</f>
        <v/>
      </c>
      <c r="D36" s="86">
        <f>工质物性!$C$5*D31*($B$22/1000)/工质物性!$E$5</f>
        <v/>
      </c>
      <c r="E36" s="124">
        <f>工质物性!$C$5*E31*($B$22/1000)/工质物性!$E$5</f>
        <v/>
      </c>
    </row>
    <row r="37" ht="16.5" customHeight="1" s="59">
      <c r="A37" s="2" t="inlineStr">
        <is>
          <t>格雷兹数</t>
        </is>
      </c>
      <c r="B37" s="4">
        <f>($B$22/1000)/($B$17/1000)*B36*$B$23</f>
        <v/>
      </c>
      <c r="C37" s="4">
        <f>($B$22/1000)/($B$17/1000)*C36*$B$23</f>
        <v/>
      </c>
      <c r="D37" s="4">
        <f>($B$22/1000)/($B$17/1000)*D36*$B$23</f>
        <v/>
      </c>
      <c r="E37" s="115">
        <f>($B$22/1000)/($B$17/1000)*E36*$B$23</f>
        <v/>
      </c>
    </row>
    <row r="38" ht="16.5" customHeight="1" s="59">
      <c r="A38" s="2" t="inlineStr">
        <is>
          <t>努塞尔数</t>
        </is>
      </c>
      <c r="B38" s="4">
        <f>MAX(4,1.86*B37^(1/3))</f>
        <v/>
      </c>
      <c r="C38" s="4">
        <f>MAX(4,1.86*C37^(1/3))</f>
        <v/>
      </c>
      <c r="D38" s="4">
        <f>MAX(4,1.86*D37^(1/3))</f>
        <v/>
      </c>
      <c r="E38" s="115">
        <f>MAX(4,1.86*E37^(1/3))</f>
        <v/>
      </c>
    </row>
    <row r="39" ht="16.5" customHeight="1" s="59">
      <c r="A39" s="2" t="inlineStr">
        <is>
          <t>换热系数_W_m2K</t>
        </is>
      </c>
      <c r="B39" s="86">
        <f>B38*工质物性!$F$5/($B$22/1000)</f>
        <v/>
      </c>
      <c r="C39" s="86">
        <f>C38*工质物性!$F$5/($B$22/1000)</f>
        <v/>
      </c>
      <c r="D39" s="86">
        <f>D38*工质物性!$F$5/($B$22/1000)</f>
        <v/>
      </c>
      <c r="E39" s="124">
        <f>E38*工质物性!$F$5/($B$22/1000)</f>
        <v/>
      </c>
    </row>
    <row r="40" ht="16.5" customHeight="1" s="59">
      <c r="A40" s="2" t="inlineStr">
        <is>
          <t>肋参数_1_m</t>
        </is>
      </c>
      <c r="B40" s="4">
        <f>SQRT(2*B39/($B$15*($B$7/1000)))</f>
        <v/>
      </c>
      <c r="C40" s="4">
        <f>SQRT(2*C39/($B$15*($B$7/1000)))</f>
        <v/>
      </c>
      <c r="D40" s="4">
        <f>SQRT(2*D39/($B$15*($B$7/1000)))</f>
        <v/>
      </c>
      <c r="E40" s="115">
        <f>SQRT(2*E39/($B$15*($B$7/1000)))</f>
        <v/>
      </c>
    </row>
    <row r="41" ht="16.5" customHeight="1" s="59">
      <c r="A41" s="2" t="inlineStr">
        <is>
          <t>肋效率</t>
        </is>
      </c>
      <c r="B41" s="85">
        <f>TANH(B40*$B$6/1000)/(B40*$B$6/1000)</f>
        <v/>
      </c>
      <c r="C41" s="85">
        <f>TANH(C40*$B$6/1000)/(C40*$B$6/1000)</f>
        <v/>
      </c>
      <c r="D41" s="85">
        <f>TANH(D40*$B$6/1000)/(D40*$B$6/1000)</f>
        <v/>
      </c>
      <c r="E41" s="116">
        <f>TANH(E40*$B$6/1000)/(E40*$B$6/1000)</f>
        <v/>
      </c>
    </row>
    <row r="42" ht="16.5" customHeight="1" s="59">
      <c r="A42" s="2" t="inlineStr">
        <is>
          <t>每米润湿长度_m</t>
        </is>
      </c>
      <c r="B42" s="92">
        <f>2*($B$5/1000)+2*($B$6/1000)*B41</f>
        <v/>
      </c>
      <c r="C42" s="92">
        <f>2*($B$5/1000)+2*($B$6/1000)*C41</f>
        <v/>
      </c>
      <c r="D42" s="92">
        <f>2*($B$5/1000)+2*($B$6/1000)*D41</f>
        <v/>
      </c>
      <c r="E42" s="125">
        <f>2*($B$5/1000)+2*($B$6/1000)*E41</f>
        <v/>
      </c>
    </row>
    <row r="43" ht="16.5" customHeight="1" s="59">
      <c r="A43" s="2" t="inlineStr">
        <is>
          <t>单腿 UA_W_K</t>
        </is>
      </c>
      <c r="B43" s="85">
        <f>$B$4*B39*B42*($B$17/1000)</f>
        <v/>
      </c>
      <c r="C43" s="85">
        <f>$B$4*C39*C42*($B$17/1000)</f>
        <v/>
      </c>
      <c r="D43" s="85">
        <f>$B$4*D39*D42*($B$17/1000)</f>
        <v/>
      </c>
      <c r="E43" s="116">
        <f>$B$4*E39*E42*($B$17/1000)</f>
        <v/>
      </c>
    </row>
    <row r="44" ht="16.5" customHeight="1" s="59">
      <c r="A44" s="2" t="inlineStr">
        <is>
          <t>对流温差_K</t>
        </is>
      </c>
      <c r="B44" s="4">
        <f>($B$10/2)/B43</f>
        <v/>
      </c>
      <c r="C44" s="4">
        <f>($B$10/2)/C43</f>
        <v/>
      </c>
      <c r="D44" s="4">
        <f>($B$10/2)/D43</f>
        <v/>
      </c>
      <c r="E44" s="115">
        <f>($B$10/2)/E43</f>
        <v/>
      </c>
    </row>
    <row r="45" ht="16.5" customHeight="1" s="59">
      <c r="A45" s="2" t="inlineStr">
        <is>
          <t>出口壁面抬升_K</t>
        </is>
      </c>
      <c r="B45" s="4">
        <f>B44+B34</f>
        <v/>
      </c>
      <c r="C45" s="4">
        <f>C44+C34</f>
        <v/>
      </c>
      <c r="D45" s="4">
        <f>D44+D34</f>
        <v/>
      </c>
      <c r="E45" s="115">
        <f>E44+E34</f>
        <v/>
      </c>
    </row>
    <row r="46" ht="16.5" customHeight="1" s="59">
      <c r="A46" s="2" t="inlineStr">
        <is>
          <t>腿直槽压降_Pa</t>
        </is>
      </c>
      <c r="B46" s="4">
        <f>$B$25*工质物性!$E$5*($B$17/1000)*B31/(2*($B$22/1000)^2)</f>
        <v/>
      </c>
      <c r="C46" s="4">
        <f>$B$25*工质物性!$E$5*($B$17/1000)*C31/(2*($B$22/1000)^2)</f>
        <v/>
      </c>
      <c r="D46" s="4">
        <f>$B$25*工质物性!$E$5*($B$17/1000)*D31/(2*($B$22/1000)^2)</f>
        <v/>
      </c>
      <c r="E46" s="115">
        <f>$B$25*工质物性!$E$5*($B$17/1000)*E31/(2*($B$22/1000)^2)</f>
        <v/>
      </c>
    </row>
    <row r="47" ht="16.5" customHeight="1" s="59">
      <c r="A47" s="2" t="inlineStr">
        <is>
          <t>假定分流压降_Pa</t>
        </is>
      </c>
      <c r="B47" s="4">
        <f>$B$18*工质物性!$C$5*B31^2/2</f>
        <v/>
      </c>
      <c r="C47" s="4">
        <f>$B$18*工质物性!$C$5*C31^2/2</f>
        <v/>
      </c>
      <c r="D47" s="4">
        <f>$B$18*工质物性!$C$5*D31^2/2</f>
        <v/>
      </c>
      <c r="E47" s="115">
        <f>$B$18*工质物性!$C$5*E31^2/2</f>
        <v/>
      </c>
    </row>
    <row r="48" ht="16.5" customHeight="1" s="59">
      <c r="A48" s="2" t="inlineStr">
        <is>
          <t>半热量除以半流量_C</t>
        </is>
      </c>
      <c r="B48" s="4">
        <f>($B$10/2)*60000/(工质物性!$C$5*(B29/2)*工质物性!$D$5)</f>
        <v/>
      </c>
      <c r="C48" s="4">
        <f>($B$10/2)*60000/(工质物性!$C$5*(C29/2)*工质物性!$D$5)</f>
        <v/>
      </c>
      <c r="D48" s="4">
        <f>($B$10/2)*60000/(工质物性!$C$5*(D29/2)*工质物性!$D$5)</f>
        <v/>
      </c>
      <c r="E48" s="115">
        <f>($B$10/2)*60000/(工质物性!$C$5*(E29/2)*工质物性!$D$5)</f>
        <v/>
      </c>
    </row>
    <row r="50" ht="64" customHeight="1" s="59">
      <c r="A50" s="93" t="inlineStr">
        <is>
          <t>B–D 列流量都是原分配表·PG25，温升用的是 PG25 的密度和比热，不是水，也不是设计点。设计点是第 26–27 行和 E 列。E 列流量是 B26，即项目要求 6 °C 的设计流量（分配表 F9），不是原分配表。腿内流速相对近壁 0.80 m/s 在 E32。表面极差官方限值未公开，本表不再写闭合或未闭合于 2.5 °C。6 °C 是冷却液温升，比 OCP 下沿 7.5 °C 更紧，也不恢复表面极差。原分配表流量和 6 °C 设计流量不是同一档，所以 B–D 列的流体温升不拿来当设计温升。对流温差用 Nu = max(4, 1.86 × Gz^(1/3))，加热长度取单侧 5.5 mm。近壁上限 0.80 m/s 仍检查满截面和腿内两列。分流阻力系数 1.5 是假定。上一版 1.5 L/(min·kW) 在分配表，不在本表 B–D 列。</t>
        </is>
      </c>
    </row>
  </sheetData>
  <mergeCells count="2">
    <mergeCell ref="A2:E2"/>
    <mergeCell ref="A50:E50"/>
  </mergeCells>
  <conditionalFormatting sqref="B35:D35">
    <cfRule type="expression" priority="3" dxfId="1">
      <formula>B35="闭合"</formula>
    </cfRule>
    <cfRule type="expression" priority="4" dxfId="0">
      <formula>B35="未闭合"</formula>
    </cfRule>
  </conditionalFormatting>
  <conditionalFormatting sqref="B32:D33">
    <cfRule type="expression" priority="1" dxfId="1">
      <formula>B32="通过"</formula>
    </cfRule>
    <cfRule type="expression" priority="2" dxfId="0">
      <formula>B32="不通过"</formula>
    </cfRule>
  </conditionalFormatting>
  <printOptions horizontalCentered="1"/>
  <pageMargins left="0.4" right="0.4" top="0.6" bottom="0.5" header="0.25" footer="0.25"/>
  <pageSetup orientation="landscape" paperSize="9" fitToHeight="0" fitToWidth="1"/>
  <headerFooter>
    <oddHeader>&amp;LGB300 冷板 · PG25 · 2026-09-29</oddHeader>
    <oddFooter>&amp;RA4  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B2748"/>
    <outlinePr summaryBelow="1" summaryRight="1"/>
    <pageSetUpPr fitToPage="1"/>
  </sheetPr>
  <dimension ref="A1:J34"/>
  <sheetViews>
    <sheetView showGridLines="0" zoomScale="110" zoomScaleNormal="110" workbookViewId="0">
      <pane ySplit="25" topLeftCell="A26" activePane="bottomLeft" state="frozen"/>
      <selection pane="bottomLeft" activeCell="A1" sqref="A1"/>
    </sheetView>
  </sheetViews>
  <sheetFormatPr baseColWidth="8" defaultColWidth="9" defaultRowHeight="13.5"/>
  <cols>
    <col width="36" customWidth="1" style="59" min="1" max="1"/>
    <col width="18" customWidth="1" style="59" min="2" max="3"/>
    <col width="16" customWidth="1" style="59" min="4" max="5"/>
    <col width="20" customWidth="1" style="59" min="6" max="6"/>
    <col width="16" customWidth="1" style="59" min="7" max="7"/>
    <col width="18" customWidth="1" style="59" min="8" max="8"/>
    <col width="22" customWidth="1" style="59" min="9" max="9"/>
    <col width="16" customWidth="1" style="59" min="10" max="10"/>
  </cols>
  <sheetData>
    <row r="1" ht="21" customHeight="1" s="59">
      <c r="A1" s="1" t="inlineStr">
        <is>
          <t>Grace 支路</t>
        </is>
      </c>
    </row>
    <row r="2" ht="60" customHeight="1" s="59">
      <c r="A2" s="93" t="inlineStr">
        <is>
          <t>外形 200 × 120 × 8 mm 和沿 Y 交错的槽保持 v1.0。CPU 与 LPDDR 不新设中心进液，也不改成冲击孔。水力表第 26 行是原分配表·PG25 的 0.8 L/min。第 28 行是 6 °C 设计点，流量取 B24（分配表 F13），工质 PG25。6 °C 比 OCP 下沿 7.5 °C 更紧。上一版 1.5 L/(min·kW)、约 0.45 L/min 在分配表 P、Q 列，不在本页水力表。第 27 行 0.55 L/min 是水，1100 W 档留下的水基线，能量平衡用水的密度和比热（工质物性 C6、D6），不是这个 6 °C 点。孔板仍是 4 × 1.04 mm，不在本表里改孔径。</t>
        </is>
      </c>
    </row>
    <row r="4" ht="16.5" customHeight="1" s="59">
      <c r="A4" s="2" t="inlineStr">
        <is>
          <t>总功率_W</t>
        </is>
      </c>
      <c r="B4" s="12">
        <f>分配表!C13</f>
        <v/>
      </c>
    </row>
    <row r="5" ht="16.5" customHeight="1" s="59">
      <c r="A5" s="2" t="inlineStr">
        <is>
          <t>CPU功率_W</t>
        </is>
      </c>
      <c r="B5" s="5" t="n">
        <v>260</v>
      </c>
    </row>
    <row r="6" ht="16.5" customHeight="1" s="59">
      <c r="A6" s="2" t="inlineStr">
        <is>
          <t>单侧内存功率_W</t>
        </is>
      </c>
      <c r="B6" s="5" t="n">
        <v>20</v>
      </c>
    </row>
    <row r="7" ht="16.5" customHeight="1" s="59">
      <c r="A7" s="94" t="inlineStr">
        <is>
          <t>原分配表·PG25 流量_L_min</t>
        </is>
      </c>
      <c r="B7" s="4">
        <f>分配表!D13</f>
        <v/>
      </c>
    </row>
    <row r="8" ht="16.5" customHeight="1" s="59">
      <c r="A8" s="94" t="inlineStr">
        <is>
          <t>水·v1.0基线流量_L_min</t>
        </is>
      </c>
      <c r="B8" s="13" t="n">
        <v>0.55</v>
      </c>
    </row>
    <row r="9" ht="16.5" customHeight="1" s="59">
      <c r="A9" s="2" t="inlineStr">
        <is>
          <t>CPU槽数</t>
        </is>
      </c>
      <c r="B9" s="5" t="n">
        <v>48</v>
      </c>
    </row>
    <row r="10" ht="16.5" customHeight="1" s="59">
      <c r="A10" s="2" t="inlineStr">
        <is>
          <t>CPU槽宽_mm</t>
        </is>
      </c>
      <c r="B10" s="13" t="n">
        <v>0.4</v>
      </c>
    </row>
    <row r="11" ht="16.5" customHeight="1" s="59">
      <c r="A11" s="2" t="inlineStr">
        <is>
          <t>CPU槽深_mm</t>
        </is>
      </c>
      <c r="B11" s="13" t="n">
        <v>1.2</v>
      </c>
    </row>
    <row r="12" ht="16.5" customHeight="1" s="59">
      <c r="A12" s="2" t="inlineStr">
        <is>
          <t>CPU摩擦长度_mm</t>
        </is>
      </c>
      <c r="B12" s="5" t="n">
        <v>40</v>
      </c>
    </row>
    <row r="13" ht="16.5" customHeight="1" s="59">
      <c r="A13" s="2" t="inlineStr">
        <is>
          <t>CPU受热长度_mm</t>
        </is>
      </c>
      <c r="B13" s="5" t="n">
        <v>32</v>
      </c>
    </row>
    <row r="14" ht="16.5" customHeight="1" s="59">
      <c r="A14" s="2" t="inlineStr">
        <is>
          <t>转弯阻力系数合计</t>
        </is>
      </c>
      <c r="B14" s="70" t="n">
        <v>3</v>
      </c>
    </row>
    <row r="15" ht="16.5" customHeight="1" s="59">
      <c r="A15" s="2" t="inlineStr">
        <is>
          <t>单侧内存槽数</t>
        </is>
      </c>
      <c r="B15" s="5" t="n">
        <v>6</v>
      </c>
    </row>
    <row r="16" ht="16.5" customHeight="1" s="59">
      <c r="A16" s="2" t="inlineStr">
        <is>
          <t>内存槽宽_mm</t>
        </is>
      </c>
      <c r="B16" s="13" t="n">
        <v>1.2</v>
      </c>
    </row>
    <row r="17" ht="16.5" customHeight="1" s="59">
      <c r="A17" s="2" t="inlineStr">
        <is>
          <t>内存槽深_mm</t>
        </is>
      </c>
      <c r="B17" s="13" t="n">
        <v>0.8</v>
      </c>
    </row>
    <row r="18" ht="16.5" customHeight="1" s="59">
      <c r="A18" s="2" t="inlineStr">
        <is>
          <t>内存摩擦长度_mm</t>
        </is>
      </c>
      <c r="B18" s="5" t="n">
        <v>78</v>
      </c>
    </row>
    <row r="19" ht="16.5" customHeight="1" s="59">
      <c r="A19" s="2" t="inlineStr">
        <is>
          <t>内存受热长度_mm</t>
        </is>
      </c>
      <c r="B19" s="5" t="n">
        <v>70</v>
      </c>
    </row>
    <row r="20" ht="16.5" customHeight="1" s="59">
      <c r="A20" s="2" t="inlineStr">
        <is>
          <t>孔板孔数</t>
        </is>
      </c>
      <c r="B20" s="5" t="n">
        <v>4</v>
      </c>
    </row>
    <row r="21" ht="16.5" customHeight="1" s="59">
      <c r="A21" s="2" t="inlineStr">
        <is>
          <t>单孔直径_mm</t>
        </is>
      </c>
      <c r="B21" s="13" t="n">
        <v>1.04</v>
      </c>
    </row>
    <row r="22" ht="16.5" customHeight="1" s="59">
      <c r="A22" s="2" t="inlineStr">
        <is>
          <t>流量系数</t>
        </is>
      </c>
      <c r="B22" s="13" t="n">
        <v>0.62</v>
      </c>
    </row>
    <row r="23" ht="16.5" customHeight="1" s="59">
      <c r="A23" s="2" t="inlineStr">
        <is>
          <t>努塞尔数假设</t>
        </is>
      </c>
      <c r="B23" s="70" t="n">
        <v>4.8</v>
      </c>
    </row>
    <row r="24" ht="71.25" customHeight="1" s="59">
      <c r="A24" s="93" t="inlineStr">
        <is>
          <t>PG25·6°C设计流量_L_min</t>
        </is>
      </c>
      <c r="B24" s="84">
        <f>分配表!F13</f>
        <v/>
      </c>
      <c r="C24" s="7">
        <f>IF(B24=0,"",B4*60000/(工质物性!$C$5*B24*工质物性!$D$5))</f>
        <v/>
      </c>
      <c r="D24" s="93" t="inlineStr">
        <is>
          <t>C24 是 PG25、6 °C 设计流量下的流体温升 °C，应等于工质物性 B37 的 6 °C。物性用工质物性 C5、D5。水力表第 26 行和第 31 行仍按原分配表·PG25 的 0.8 L/min。第 28 行和第 33 行用 B24 这一流量。第 27 行是水、0.55 L/min，I27 用水的密度和比热（工质物性 C6、D6）。CPU 与 LPDDR 不改中心进液。</t>
        </is>
      </c>
    </row>
    <row r="25" ht="32.1" customHeight="1" s="59">
      <c r="A25" s="9" t="inlineStr">
        <is>
          <t>工况</t>
        </is>
      </c>
      <c r="B25" s="9" t="inlineStr">
        <is>
          <t>流量_L_min</t>
        </is>
      </c>
      <c r="C25" s="9" t="inlineStr">
        <is>
          <t>CPU流量_L_min</t>
        </is>
      </c>
      <c r="D25" s="9" t="inlineStr">
        <is>
          <t>CPU流速_m_s</t>
        </is>
      </c>
      <c r="E25" s="9" t="inlineStr">
        <is>
          <t>CPU雷诺数</t>
        </is>
      </c>
      <c r="F25" s="9" t="inlineStr">
        <is>
          <t>CPU通道压降_kPa</t>
        </is>
      </c>
      <c r="G25" s="9" t="inlineStr">
        <is>
          <t>孔板压降_kPa</t>
        </is>
      </c>
      <c r="H25" s="9" t="inlineStr">
        <is>
          <t>通道加孔板_kPa</t>
        </is>
      </c>
      <c r="I25" s="9" t="inlineStr">
        <is>
          <t>整板能量平衡温升_C</t>
        </is>
      </c>
      <c r="J25" s="9" t="inlineStr">
        <is>
          <t>管内流速_m_s</t>
        </is>
      </c>
    </row>
    <row r="26" ht="16.5" customHeight="1" s="59">
      <c r="A26" s="109" t="inlineStr">
        <is>
          <t>PG25，原分配表 0.8 L/min</t>
        </is>
      </c>
      <c r="B26" s="4">
        <f>$B$7</f>
        <v/>
      </c>
      <c r="C26" s="85">
        <f>B26*$B$5/$B$4</f>
        <v/>
      </c>
      <c r="D26" s="85">
        <f>(C26/60000)/($B$9*($B$10/1000)*($B$11/1000))</f>
        <v/>
      </c>
      <c r="E26" s="86">
        <f>工质物性!$C$5*D26*(2*($B$10/1000)*($B$11/1000)/(($B$10+$B$11)/1000))/工质物性!$E$5</f>
        <v/>
      </c>
      <c r="F26" s="4">
        <f>(64/E26*($B$12/1000)/(2*($B$10/1000)*($B$11/1000)/(($B$10+$B$11)/1000))+$B$14)*工质物性!$C$5*D26^2/2/1000</f>
        <v/>
      </c>
      <c r="G26" s="4">
        <f>工质物性!$C$5/2*((B26/60000)/($B$22*$B$20*PI()*($B$21^2)/4/1000000))^2/1000</f>
        <v/>
      </c>
      <c r="H26" s="4">
        <f>F26+G26</f>
        <v/>
      </c>
      <c r="I26" s="4">
        <f>IF(B26=0,"",$B$4*60000/(工质物性!$C$5*B26*工质物性!$D$5))</f>
        <v/>
      </c>
      <c r="J26" s="85">
        <f>(B26/60000)/(PI()*(6^2)/4/1000000)</f>
        <v/>
      </c>
    </row>
    <row r="27" ht="16.5" customHeight="1" s="59">
      <c r="A27" s="109" t="inlineStr">
        <is>
          <t>水，基线 0.55 L/min</t>
        </is>
      </c>
      <c r="B27" s="4">
        <f>$B$8</f>
        <v/>
      </c>
      <c r="C27" s="85">
        <f>B27*$B$5/$B$4</f>
        <v/>
      </c>
      <c r="D27" s="85">
        <f>(C27/60000)/($B$9*($B$10/1000)*($B$11/1000))</f>
        <v/>
      </c>
      <c r="E27" s="86">
        <f>工质物性!$C$6*D27*(2*($B$10/1000)*($B$11/1000)/(($B$10+$B$11)/1000))/工质物性!$E$6</f>
        <v/>
      </c>
      <c r="F27" s="4">
        <f>(64/E27*($B$12/1000)/(2*($B$10/1000)*($B$11/1000)/(($B$10+$B$11)/1000))+$B$14)*工质物性!$C$6*D27^2/2/1000</f>
        <v/>
      </c>
      <c r="G27" s="4">
        <f>工质物性!$C$6/2*((B27/60000)/($B$22*$B$20*PI()*($B$21^2)/4/1000000))^2/1000</f>
        <v/>
      </c>
      <c r="H27" s="4">
        <f>F27+G27</f>
        <v/>
      </c>
      <c r="I27" s="4">
        <f>IF(B27=0,"",$B$4*60000/(工质物性!$C$6*B27*工质物性!$D$6))</f>
        <v/>
      </c>
      <c r="J27" s="85">
        <f>(B27/60000)/(PI()*(6^2)/4/1000000)</f>
        <v/>
      </c>
    </row>
    <row r="28">
      <c r="A28" s="97" t="inlineStr">
        <is>
          <t>PG25，6°C设计点（流量B24）</t>
        </is>
      </c>
      <c r="B28" s="115">
        <f>$B$24</f>
        <v/>
      </c>
      <c r="C28" s="116">
        <f>B28*$B$5/$B$4</f>
        <v/>
      </c>
      <c r="D28" s="116">
        <f>(C28/60000)/($B$9*($B$10/1000)*($B$11/1000))</f>
        <v/>
      </c>
      <c r="E28" s="124">
        <f>工质物性!$C$5*D28*(2*($B$10/1000)*($B$11/1000)/(($B$10+$B$11)/1000))/工质物性!$E$5</f>
        <v/>
      </c>
      <c r="F28" s="115">
        <f>(64/E28*($B$12/1000)/(2*($B$10/1000)*($B$11/1000)/(($B$10+$B$11)/1000))+$B$14)*工质物性!$C$5*D28^2/2/1000</f>
        <v/>
      </c>
      <c r="G28" s="115">
        <f>工质物性!$C$5/2*((B28/60000)/($B$22*$B$20*PI()*($B$21^2)/4/1000000))^2/1000</f>
        <v/>
      </c>
      <c r="H28" s="115">
        <f>F28+G28</f>
        <v/>
      </c>
      <c r="I28" s="115">
        <f>IF(B28=0,"",$B$4*60000/(工质物性!$C$5*B28*工质物性!$D$5))</f>
        <v/>
      </c>
      <c r="J28" s="116">
        <f>(B28/60000)/(PI()*(6^2)/4/1000000)</f>
        <v/>
      </c>
    </row>
    <row r="30" ht="16.5" customHeight="1" s="59">
      <c r="A30" s="9" t="inlineStr">
        <is>
          <t>工况</t>
        </is>
      </c>
      <c r="B30" s="9" t="inlineStr">
        <is>
          <t>内存流量_L_min</t>
        </is>
      </c>
      <c r="C30" s="9" t="inlineStr">
        <is>
          <t>内存流速_m_s</t>
        </is>
      </c>
      <c r="D30" s="9" t="inlineStr">
        <is>
          <t>内存雷诺数</t>
        </is>
      </c>
      <c r="E30" s="9" t="inlineStr">
        <is>
          <t>内存通道压降_kPa</t>
        </is>
      </c>
      <c r="F30" s="9" t="inlineStr">
        <is>
          <t>对流温差_CPU_K</t>
        </is>
      </c>
    </row>
    <row r="31" ht="16.5" customHeight="1" s="59">
      <c r="A31" s="10">
        <f>A26</f>
        <v/>
      </c>
      <c r="B31" s="85">
        <f>B26*$B$6/$B$4</f>
        <v/>
      </c>
      <c r="C31" s="85">
        <f>(B31/60000)/($B$15*($B$16/1000)*($B$17/1000))</f>
        <v/>
      </c>
      <c r="D31" s="86">
        <f>工质物性!$C$5*C31*(2*($B$16/1000)*($B$17/1000)/(($B$16+$B$17)/1000))/工质物性!$E$5</f>
        <v/>
      </c>
      <c r="E31" s="4">
        <f>(64/D31*($B$18/1000)/(2*($B$16/1000)*($B$17/1000)/(($B$16+$B$17)/1000))+$B$14)*工质物性!$C$5*C31^2/2/1000</f>
        <v/>
      </c>
      <c r="F31" s="4">
        <f>$B$5/($B$23*工质物性!$F$5/(2*($B$10/1000)*($B$11/1000)/(($B$10+$B$11)/1000))*$B$9*($B$13/1000)*(($B$10/1000)+2*($B$11/1000)))</f>
        <v/>
      </c>
    </row>
    <row r="32" ht="16.5" customHeight="1" s="59">
      <c r="A32" s="10">
        <f>A27</f>
        <v/>
      </c>
      <c r="B32" s="85">
        <f>B27*$B$6/$B$4</f>
        <v/>
      </c>
      <c r="C32" s="85">
        <f>(B32/60000)/($B$15*($B$16/1000)*($B$17/1000))</f>
        <v/>
      </c>
      <c r="D32" s="86">
        <f>工质物性!$C$6*C32*(2*($B$16/1000)*($B$17/1000)/(($B$16+$B$17)/1000))/工质物性!$E$6</f>
        <v/>
      </c>
      <c r="E32" s="4">
        <f>(64/D32*($B$18/1000)/(2*($B$16/1000)*($B$17/1000)/(($B$16+$B$17)/1000))+$B$14)*工质物性!$C$6*C32^2/2/1000</f>
        <v/>
      </c>
      <c r="F32" s="4">
        <f>$B$5/($B$23*工质物性!$F$6/(2*($B$10/1000)*($B$11/1000)/(($B$10+$B$11)/1000))*$B$9*($B$13/1000)*(($B$10/1000)+2*($B$11/1000)))</f>
        <v/>
      </c>
    </row>
    <row r="33">
      <c r="A33" s="110">
        <f>A28</f>
        <v/>
      </c>
      <c r="B33" s="116">
        <f>B28*$B$6/$B$4</f>
        <v/>
      </c>
      <c r="C33" s="116">
        <f>(B33/60000)/($B$15*($B$16/1000)*($B$17/1000))</f>
        <v/>
      </c>
      <c r="D33" s="124">
        <f>工质物性!$C$5*C33*(2*($B$16/1000)*($B$17/1000)/(($B$16+$B$17)/1000))/工质物性!$E$5</f>
        <v/>
      </c>
      <c r="E33" s="115">
        <f>(64/D33*($B$18/1000)/(2*($B$16/1000)*($B$17/1000)/(($B$16+$B$17)/1000))+$B$14)*工质物性!$C$5*C33^2/2/1000</f>
        <v/>
      </c>
      <c r="F33" s="115">
        <f>$B$5/($B$23*工质物性!$F$5/(2*($B$10/1000)*($B$11/1000)/(($B$10+$B$11)/1000))*$B$9*($B$13/1000)*(($B$10/1000)+2*($B$11/1000)))</f>
        <v/>
      </c>
    </row>
    <row r="34" ht="72" customHeight="1" s="59">
      <c r="A34" s="93" t="inlineStr">
        <is>
          <t>通道压降用 f = 64/Re，一进一出的转弯系数合计 3，速度用槽内速度。这是 v1.0 的同一条算法。v1.0 正文里的 0.34 m/s 和 0.96 kPa 对应水、约 0.543 L/min 的能量平衡流量，不是本表 0.55 L/min 这一行。Nu = 4.8 仍是假设。孔板压降用现有 4 × 1.04 mm 正算。第 26 行原分配表若高于 20 kPa，说明这组孔在 0.8 L/min 下装不上原来的支路窗口，槽仍不改。第 28 行和第 33 行是 6 °C 设计流量，用的是 B24，不是 0.8 L/min。几何不变，CPU 与 LPDDR 不新设中心进液。第 27 行能量平衡 I27 用水的密度和比热（工质物性 C6、D6）。上一版约 0.45 L/min 和原分配表 0.8 L/min 都是 PG25；本版设计流量是 B24，对应项目要求 6 °C。</t>
        </is>
      </c>
    </row>
  </sheetData>
  <mergeCells count="2">
    <mergeCell ref="A2:F2"/>
    <mergeCell ref="A34:F34"/>
  </mergeCells>
  <printOptions horizontalCentered="1"/>
  <pageMargins left="0.4" right="0.4" top="0.6" bottom="0.5" header="0.25" footer="0.25"/>
  <pageSetup orientation="landscape" paperSize="9" fitToHeight="0" fitToWidth="1"/>
  <headerFooter>
    <oddHeader>&amp;LGB300 冷板 · PG25 · 2026-09-29</oddHeader>
    <oddFooter>&amp;RA4  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B2748"/>
    <outlinePr summaryBelow="1" summaryRight="1"/>
    <pageSetUpPr fitToPage="1"/>
  </sheetPr>
  <dimension ref="A1:D29"/>
  <sheetViews>
    <sheetView showGridLines="0" zoomScale="110" zoomScaleNormal="110" workbookViewId="0">
      <pane ySplit="10" topLeftCell="A11" activePane="bottomLeft" state="frozen"/>
      <selection pane="bottomLeft" activeCell="A1" sqref="A1"/>
    </sheetView>
  </sheetViews>
  <sheetFormatPr baseColWidth="8" defaultColWidth="9" defaultRowHeight="13.5"/>
  <cols>
    <col width="36" customWidth="1" style="59" min="1" max="1"/>
    <col width="22" customWidth="1" style="59" min="2" max="2"/>
    <col width="28" customWidth="1" style="59" min="3" max="3"/>
    <col width="62" customWidth="1" style="59" min="4" max="4"/>
  </cols>
  <sheetData>
    <row r="1" ht="21" customHeight="1" s="59">
      <c r="A1" s="1" t="inlineStr">
        <is>
          <t>机柜流量对照</t>
        </is>
      </c>
    </row>
    <row r="2" ht="72" customHeight="1" s="59">
      <c r="A2" s="93" t="inlineStr">
        <is>
          <t>设计流量按项目机柜功率与 PG25 物性，在设计要求温升 B37 的 6 °C 上闭合能量平衡：Q = P × 60000 / (ρ · cp · B37)。6 °C 比 OCP 下沿 7.5 °C 更紧，是项目要求，不是 OCP 或 NVIDIA 的额定温升。流体温升用 ΔT = P / (ρ · Q · cp)。上一版 1.5 L/(min·kW)、约 10 °C 留在第 21 行。原分配表 350–380 L/min 是 PG25 对照，不再作为要求。Lenovo Press LP2357（2026-08-30）表 27 为供液 25/30/35/40/45 °C 对应 59/71/89/119/177 L/min。177 L/min 是 45 °C 供液下的整柜要求流量，不替换。工质可为去离子水或 PG25，表 27 没有分开两条曲线，本表不另造第二条 Lenovo 曲线。按项目 140 kW，177 L/min 的温升高于设计要求 6 °C。设计流量会靠近原分配表 350–380 L/min，是按 6 °C 新算的，不是把那一列恢复成指标。水的等 6 °C 机柜流量只作对照。</t>
        </is>
      </c>
    </row>
    <row r="4" ht="16.5" customHeight="1" s="59">
      <c r="A4" s="2" t="inlineStr">
        <is>
          <t>机柜功率_W</t>
        </is>
      </c>
      <c r="B4" s="3">
        <f>分配表!C16</f>
        <v/>
      </c>
    </row>
    <row r="5" ht="16.5" customHeight="1" s="59">
      <c r="A5" s="94" t="inlineStr">
        <is>
          <t>原分配表·PG25 流量下限_L_min</t>
        </is>
      </c>
      <c r="B5" s="4">
        <f>分配表!D16</f>
        <v/>
      </c>
    </row>
    <row r="6" ht="16.5" customHeight="1" s="59">
      <c r="A6" s="94" t="inlineStr">
        <is>
          <t>原分配表·PG25 流量上限_L_min</t>
        </is>
      </c>
      <c r="B6" s="4">
        <f>分配表!E16</f>
        <v/>
      </c>
    </row>
    <row r="7" ht="16.5" customHeight="1" s="59">
      <c r="A7" s="94" t="inlineStr">
        <is>
          <t>Lenovo表27·工质未分开_L_min</t>
        </is>
      </c>
      <c r="B7" s="5" t="n">
        <v>177</v>
      </c>
      <c r="C7" s="93" t="inlineStr">
        <is>
          <t>整柜要求流量，45 °C 供液。工质可为去离子水或 PG25，表 27 没有分开两条曲线。不替换，也不另造一条水或 PG25 曲线。同表还有 59/71/89/119 L/min，见下方。</t>
        </is>
      </c>
    </row>
    <row r="8" ht="49.5" customHeight="1" s="59">
      <c r="A8" s="2" t="inlineStr">
        <is>
          <t>Lenovo 供液温度_C</t>
        </is>
      </c>
      <c r="B8" s="5" t="n">
        <v>45</v>
      </c>
      <c r="C8" s="94" t="inlineStr">
        <is>
          <t>Lenovo 行的 45 °C 只作记录。这一行不配单一工质的温升。</t>
        </is>
      </c>
    </row>
    <row r="9" ht="16.5" customHeight="1" s="59">
      <c r="A9" s="93" t="inlineStr">
        <is>
          <t>PG25·6°C设计流量_L_min</t>
        </is>
      </c>
      <c r="B9" s="7">
        <f>分配表!F16</f>
        <v/>
      </c>
      <c r="C9" s="93" t="inlineStr">
        <is>
          <t>项目 140 kW 按 PG25、工质物性 B37 的 6 °C 闭合。设计点。按 6 °C 新算，靠近原分配表 350–380 L/min，但不是把那一列恢复成指标。不是水，也不是 Lenovo 表 27。6 °C 比 OCP 下沿 7.5 °C 更紧，不是 OCP 或 NVIDIA 的额定温升。</t>
        </is>
      </c>
    </row>
    <row r="10" ht="32.1" customHeight="1" s="59">
      <c r="A10" s="9" t="inlineStr">
        <is>
          <t>口径</t>
        </is>
      </c>
      <c r="B10" s="9" t="inlineStr">
        <is>
          <t>流量_L_min</t>
        </is>
      </c>
      <c r="C10" s="96" t="inlineStr">
        <is>
          <t>能量平衡温升_C</t>
        </is>
      </c>
      <c r="D10" s="9" t="inlineStr">
        <is>
          <t>相对 Lenovo 177 的倍数</t>
        </is>
      </c>
    </row>
    <row r="11" ht="16.5" customHeight="1" s="59">
      <c r="A11" s="110" t="inlineStr">
        <is>
          <t>原分配表·PG25 下限</t>
        </is>
      </c>
      <c r="B11" s="4">
        <f>B5</f>
        <v/>
      </c>
      <c r="C11" s="4">
        <f>IF(B11=0,"",$B$4*60000/(工质物性!$C$5*B11*工质物性!$D$5))</f>
        <v/>
      </c>
      <c r="D11" s="4">
        <f>B11/$B$7</f>
        <v/>
      </c>
    </row>
    <row r="12" ht="16.5" customHeight="1" s="59">
      <c r="A12" s="110" t="inlineStr">
        <is>
          <t>原分配表·PG25 上限</t>
        </is>
      </c>
      <c r="B12" s="4">
        <f>B6</f>
        <v/>
      </c>
      <c r="C12" s="4">
        <f>IF(B12=0,"",$B$4*60000/(工质物性!$C$5*B12*工质物性!$D$5))</f>
        <v/>
      </c>
      <c r="D12" s="4">
        <f>B12/$B$7</f>
        <v/>
      </c>
    </row>
    <row r="13" ht="16.5" customHeight="1" s="59">
      <c r="A13" s="110" t="inlineStr">
        <is>
          <t>原分配表·PG25 中值</t>
        </is>
      </c>
      <c r="B13" s="4">
        <f>(B5+B6)/2</f>
        <v/>
      </c>
      <c r="C13" s="4">
        <f>IF(B13=0,"",$B$4*60000/(工质物性!$C$5*B13*工质物性!$D$5))</f>
        <v/>
      </c>
      <c r="D13" s="4">
        <f>B13/$B$7</f>
        <v/>
      </c>
    </row>
    <row r="14" ht="16.5" customHeight="1" s="59">
      <c r="A14" s="110" t="inlineStr">
        <is>
          <t>Lenovo 177·工质未分开</t>
        </is>
      </c>
      <c r="B14" s="4">
        <f>B7</f>
        <v/>
      </c>
      <c r="C14" s="111" t="inlineStr">
        <is>
          <t>表27未分列工质</t>
        </is>
      </c>
      <c r="D14" s="4">
        <f>B14/$B$7</f>
        <v/>
      </c>
    </row>
    <row r="15" ht="16.5" customHeight="1" s="59">
      <c r="A15" s="110" t="inlineStr">
        <is>
          <t>PG25·6°C设计点</t>
        </is>
      </c>
      <c r="B15" s="7">
        <f>B9</f>
        <v/>
      </c>
      <c r="C15" s="7">
        <f>IF(B15=0,"",$B$4*60000/(工质物性!$C$5*B15*工质物性!$D$5))</f>
        <v/>
      </c>
      <c r="D15" s="7">
        <f>B15/$B$7</f>
        <v/>
      </c>
    </row>
    <row r="16" ht="32" customHeight="1" s="59">
      <c r="A16" s="110" t="inlineStr">
        <is>
          <t>对照·177×PG25物性×项目功率</t>
        </is>
      </c>
      <c r="B16" s="98">
        <f>B7</f>
        <v/>
      </c>
      <c r="C16" s="98">
        <f>IF(B16=0,"",$B$4*60000/(工质物性!$C$5*B16*工质物性!$D$5))</f>
        <v/>
      </c>
      <c r="D16" s="97" t="inlineStr">
        <is>
          <t>对照。用 PG25、40 °C 和项目机柜功率反算，不是表 27 的温升，也不表示 177 只适用于 PG25。该温升高于设计要求 6 °C。</t>
        </is>
      </c>
    </row>
    <row r="17" ht="32" customHeight="1" s="59">
      <c r="A17" s="97" t="inlineStr">
        <is>
          <t>对照·177×水物性×项目功率</t>
        </is>
      </c>
      <c r="B17" s="101">
        <f>B7</f>
        <v/>
      </c>
      <c r="C17" s="101">
        <f>IF(B17=0,"",$B$4*60000/(工质物性!$C$6*B17*工质物性!$D$6))</f>
        <v/>
      </c>
      <c r="D17" s="97" t="inlineStr">
        <is>
          <t>对照。同一 177 L/min、同一项目功率，改用水的密度和比热。表 27 仍没有两条曲线。该温升同样高于设计要求 6 °C。</t>
        </is>
      </c>
    </row>
    <row r="18" ht="32" customHeight="1" s="59">
      <c r="A18" s="97" t="inlineStr">
        <is>
          <t>水·等6°C对照</t>
        </is>
      </c>
      <c r="B18" s="101">
        <f>分配表!M16</f>
        <v/>
      </c>
      <c r="C18" s="101">
        <f>分配表!N16</f>
        <v/>
      </c>
      <c r="D18" s="97" t="inlineStr">
        <is>
          <t>对照。项目 140 kW，水的密度和比热，温升固定为工质物性 B37 的 6 °C。不是设计点，不替换 PG25 的设计流量，也不替换 Lenovo 177。</t>
        </is>
      </c>
    </row>
    <row r="19" ht="32" customHeight="1" s="59">
      <c r="A19" s="97" t="inlineStr">
        <is>
          <t>水对照·固定PG25设计流量</t>
        </is>
      </c>
      <c r="B19" s="101">
        <f>分配表!F16</f>
        <v/>
      </c>
      <c r="C19" s="101">
        <f>分配表!O16</f>
        <v/>
      </c>
      <c r="D19" s="97" t="inlineStr">
        <is>
          <t>对照。体积流量保持 PG25 的 6 °C 设计点，温升改用水的密度和比热。不是设计点，不是表 27。</t>
        </is>
      </c>
    </row>
    <row r="20" ht="78" customHeight="1" s="59">
      <c r="A20" s="93" t="inlineStr">
        <is>
          <t>第 14 行的 177 L/min 不配单一工质温升，因为表 27 没有分开水和 PG25。C16 才是「若按 PG25 物性、项目 140 kW」的反算，C17 是「若按水物性」的反算，都不是表 27 上的温升，而且都高于设计要求 6 °C。第 15 行是 PG25 设计点，温升应等于工质物性 B37 的 6 °C，不是 B20。第 18 行是水·等6°C对照，只作对照。第 19 行是 PG25 设计体积流量固定后、改用水物性的温升。第 21 行是上一版约 10 °C。原分配表 350–380 L/min 是 PG25，不再当作设计要求。供液 45 °C 时表 27 还记下机柜压降 18.4 psi，本表不改写该压降。下方五档是表 27 原列，177 L/min 不替换。</t>
        </is>
      </c>
    </row>
    <row r="21" ht="32" customHeight="1" s="59">
      <c r="A21" s="110" t="inlineStr">
        <is>
          <t>上一版设计点·PG25·约10℃</t>
        </is>
      </c>
      <c r="B21" s="115">
        <f>分配表!P16</f>
        <v/>
      </c>
      <c r="C21" s="115">
        <f>分配表!Q16</f>
        <v/>
      </c>
      <c r="D21" s="97" t="inlineStr">
        <is>
          <t>上一版 1.5 L/(min·kW)，温升约 10 °C。不是本版设计点。不替换第 15 行，也不替换 Lenovo 177。</t>
        </is>
      </c>
    </row>
    <row r="23">
      <c r="A23" s="126" t="inlineStr">
        <is>
          <t>Lenovo LP2357 表 27</t>
        </is>
      </c>
    </row>
    <row r="24">
      <c r="A24" s="96" t="inlineStr">
        <is>
          <t>供液温度_C</t>
        </is>
      </c>
      <c r="B24" s="96" t="inlineStr">
        <is>
          <t>流量_L_min</t>
        </is>
      </c>
      <c r="C24" s="96" t="inlineStr">
        <is>
          <t>说明</t>
        </is>
      </c>
      <c r="D24" s="113" t="n"/>
    </row>
    <row r="25" ht="28" customHeight="1" s="59">
      <c r="A25" s="127" t="n">
        <v>25</v>
      </c>
      <c r="B25" s="127" t="n">
        <v>59</v>
      </c>
      <c r="C25" s="97" t="inlineStr">
        <is>
          <t>表 27。供液温度，不是冷却液温升。不按水与 PG25 分列，也不替换 45 °C 的 177 L/min。</t>
        </is>
      </c>
      <c r="D25" s="113" t="n"/>
    </row>
    <row r="26" ht="28" customHeight="1" s="59">
      <c r="A26" s="127" t="n">
        <v>30</v>
      </c>
      <c r="B26" s="127" t="n">
        <v>71</v>
      </c>
      <c r="C26" s="97" t="inlineStr">
        <is>
          <t>表 27。</t>
        </is>
      </c>
      <c r="D26" s="113" t="n"/>
    </row>
    <row r="27" ht="28" customHeight="1" s="59">
      <c r="A27" s="127" t="n">
        <v>35</v>
      </c>
      <c r="B27" s="127" t="n">
        <v>89</v>
      </c>
      <c r="C27" s="97" t="inlineStr">
        <is>
          <t>表 27。</t>
        </is>
      </c>
      <c r="D27" s="113" t="n"/>
    </row>
    <row r="28" ht="28" customHeight="1" s="59">
      <c r="A28" s="127" t="n">
        <v>40</v>
      </c>
      <c r="B28" s="127" t="n">
        <v>119</v>
      </c>
      <c r="C28" s="97" t="inlineStr">
        <is>
          <t>表 27。</t>
        </is>
      </c>
      <c r="D28" s="113" t="n"/>
    </row>
    <row r="29" ht="36" customHeight="1" s="59">
      <c r="A29" s="128">
        <f>B8</f>
        <v/>
      </c>
      <c r="B29" s="128">
        <f>B7</f>
        <v/>
      </c>
      <c r="C29" s="97" t="inlineStr">
        <is>
          <t>表 27 的 45 °C 档，流量指向 B7 的 177 L/min，不另写一个数。配项目 140 kW 时，PG25 反算见 C16，水反算见 C17，都高于设计要求 6 °C。表 27 不按水与 PG25 分列。</t>
        </is>
      </c>
      <c r="D29" s="113" t="n"/>
    </row>
  </sheetData>
  <mergeCells count="9">
    <mergeCell ref="A23:D23"/>
    <mergeCell ref="C29:D29"/>
    <mergeCell ref="C24:D24"/>
    <mergeCell ref="C25:D25"/>
    <mergeCell ref="A20:D20"/>
    <mergeCell ref="C27:D27"/>
    <mergeCell ref="C28:D28"/>
    <mergeCell ref="A2:D2"/>
    <mergeCell ref="C26:D26"/>
  </mergeCells>
  <printOptions horizontalCentered="1"/>
  <pageMargins left="0.4" right="0.4" top="0.6" bottom="0.5" header="0.25" footer="0.25"/>
  <pageSetup orientation="portrait" paperSize="9" fitToHeight="0" fitToWidth="1"/>
  <headerFooter>
    <oddHeader>&amp;LGB300 冷板 · PG25 · 2026-09-29</oddHeader>
    <oddFooter>&amp;RA4  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GB300 冷板液冷热量与流量分配表 PG25</dc:title>
  <dc:subject xmlns:dc="http://purl.org/dc/elements/1.1/">PG25，2026-09-29</dc:subject>
  <dcterms:created xmlns:dcterms="http://purl.org/dc/terms/" xmlns:xsi="http://www.w3.org/2001/XMLSchema-instance" xsi:type="dcterms:W3CDTF">2026-09-29T08:54:00Z</dcterms:created>
  <dcterms:modified xmlns:dcterms="http://purl.org/dc/terms/" xmlns:xsi="http://www.w3.org/2001/XMLSchema-instance" xsi:type="dcterms:W3CDTF">2026-09-29T23:50:48Z</dcterms:modified>
  <cp:lastModifiedBy>Windows 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AD89F3CD94AF46979257D5264D95D876_12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