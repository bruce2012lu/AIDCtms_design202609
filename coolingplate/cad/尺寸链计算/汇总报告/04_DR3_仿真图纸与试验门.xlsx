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仿真" sheetId="2" state="visible" r:id="rId2"/>
    <sheet xmlns:r="http://schemas.openxmlformats.org/officeDocument/2006/relationships" name="尺寸链" sheetId="3" state="visible" r:id="rId3"/>
    <sheet xmlns:r="http://schemas.openxmlformats.org/officeDocument/2006/relationships" name="试验门" sheetId="4" state="visible" r:id="rId4"/>
  </sheets>
  <definedNames>
    <definedName name="_xlnm._FilterDatabase" localSheetId="0" hidden="1">'封面'!$A$3:$B$8</definedName>
    <definedName name="_xlnm.Print_Titles" localSheetId="0">'封面'!$1:$3</definedName>
    <definedName name="_xlnm._FilterDatabase" localSheetId="1" hidden="1">'仿真'!$A$3:$G$5</definedName>
    <definedName name="_xlnm.Print_Titles" localSheetId="1">'仿真'!$1:$3</definedName>
    <definedName name="_xlnm._FilterDatabase" localSheetId="2" hidden="1">'尺寸链'!$A$3:$F$11</definedName>
    <definedName name="_xlnm.Print_Titles" localSheetId="2">'尺寸链'!$1:$3</definedName>
    <definedName name="_xlnm._FilterDatabase" localSheetId="3" hidden="1">'试验门'!$A$3:$E$8</definedName>
    <definedName name="_xlnm.Print_Titles" localSheetId="3">'试验门'!$1:$3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6">
    <font>
      <name val="Calibri"/>
      <family val="2"/>
      <color theme="1"/>
      <sz val="11"/>
      <scheme val="minor"/>
    </font>
    <font>
      <name val="微软雅黑"/>
      <b val="1"/>
      <color rgb="000E3A5D"/>
      <sz val="16"/>
    </font>
    <font>
      <name val="微软雅黑"/>
      <b val="1"/>
      <color rgb="00FFFFFF"/>
      <sz val="11"/>
    </font>
    <font>
      <name val="微软雅黑"/>
      <sz val="11"/>
    </font>
    <font>
      <name val="微软雅黑"/>
      <color rgb="000B3A66"/>
      <sz val="11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0E3A5D"/>
      </patternFill>
    </fill>
    <fill>
      <patternFill patternType="solid">
        <fgColor rgb="00D6E6F5"/>
      </patternFill>
    </fill>
  </fills>
  <borders count="2">
    <border>
      <left/>
      <right/>
      <top/>
      <bottom/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6" customHeight="1">
      <c r="A1" s="1" t="inlineStr">
        <is>
          <t>DR3 / DR4 仿真、图纸与试验</t>
        </is>
      </c>
    </row>
    <row r="3" ht="22" customHeight="1">
      <c r="A3" s="2" t="inlineStr">
        <is>
          <t>项</t>
        </is>
      </c>
      <c r="B3" s="2" t="inlineStr">
        <is>
          <t>内容</t>
        </is>
      </c>
    </row>
    <row r="4" ht="30" customHeight="1">
      <c r="A4" s="3" t="inlineStr">
        <is>
          <t>文件</t>
        </is>
      </c>
      <c r="B4" s="3" t="inlineStr">
        <is>
          <t>04_DR3_仿真图纸与试验门.xlsx</t>
        </is>
      </c>
    </row>
    <row r="5" ht="30" customHeight="1">
      <c r="A5" s="3" t="inlineStr">
        <is>
          <t>日期</t>
        </is>
      </c>
      <c r="B5" s="3" t="inlineStr">
        <is>
          <t>2026-09-29</t>
        </is>
      </c>
    </row>
    <row r="6" ht="30" customHeight="1">
      <c r="A6" s="3" t="inlineStr">
        <is>
          <t>仿真</t>
        </is>
      </c>
      <c r="B6" s="3" t="inlineStr">
        <is>
          <t>用场温度和功率重算热阻。不要把 HBM 的热阻和 0.028 放在一起比。</t>
        </is>
      </c>
    </row>
    <row r="7" ht="30" customHeight="1">
      <c r="A7" s="3" t="inlineStr">
        <is>
          <t>尺寸</t>
        </is>
      </c>
      <c r="B7" s="3" t="inlineStr">
        <is>
          <t>只复算放行要用的几条链。全套在上一级目录的尺寸核实2。</t>
        </is>
      </c>
    </row>
    <row r="8" ht="30" customHeight="1">
      <c r="A8" s="3" t="inlineStr">
        <is>
          <t>试验</t>
        </is>
      </c>
      <c r="B8" s="3" t="inlineStr">
        <is>
          <t>判据是输入，实测列空着。</t>
        </is>
      </c>
    </row>
  </sheetData>
  <autoFilter ref="A3:B8"/>
  <mergeCells count="1">
    <mergeCell ref="A1:B1"/>
  </mergeCells>
  <pageMargins left="0.5" right="0.5" top="0.7" bottom="0.55" header="0.5" footer="0.5"/>
  <pageSetup orientation="portrait" paperSize="9" fitToHeight="1" fitToWidth="1"/>
  <headerFooter>
    <oddHeader>&amp;LDR3 / DR4 仿真、图纸与试验</oddHeader>
    <oddFooter>&amp;C冷板总体设计  ·  2026-09-29&amp;R第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 ht="26" customHeight="1">
      <c r="A1" s="1" t="inlineStr">
        <is>
          <t>局部 CFD 热阻</t>
        </is>
      </c>
    </row>
    <row r="3" ht="22" customHeight="1">
      <c r="A3" s="2" t="inlineStr">
        <is>
          <t>场</t>
        </is>
      </c>
      <c r="B3" s="2" t="inlineStr">
        <is>
          <t>T_TIM K</t>
        </is>
      </c>
      <c r="C3" s="2" t="inlineStr">
        <is>
          <t>T_in K</t>
        </is>
      </c>
      <c r="D3" s="2" t="inlineStr">
        <is>
          <t>功率 W</t>
        </is>
      </c>
      <c r="E3" s="2" t="inlineStr">
        <is>
          <t>R °C/W</t>
        </is>
      </c>
      <c r="F3" s="2" t="inlineStr">
        <is>
          <t>对照目标</t>
        </is>
      </c>
      <c r="G3" s="2" t="inlineStr">
        <is>
          <t>说明</t>
        </is>
      </c>
    </row>
    <row r="4" ht="22" customHeight="1">
      <c r="A4" s="3" t="inlineStr">
        <is>
          <t>GPU 12 孔带</t>
        </is>
      </c>
      <c r="B4" s="4" t="n">
        <v>342.04911</v>
      </c>
      <c r="C4" s="4" t="n">
        <v>313.15</v>
      </c>
      <c r="D4" s="4" t="n">
        <v>900.899</v>
      </c>
      <c r="E4" s="5">
        <f>(B4-C4)/D4</f>
        <v/>
      </c>
      <c r="F4" s="4" t="n">
        <v>0.028</v>
      </c>
      <c r="G4" s="3">
        <f>IF(E4&lt;F4,"低于对照","仍高于 0.028 的对照")</f>
        <v/>
      </c>
    </row>
    <row r="5" ht="22" customHeight="1">
      <c r="A5" s="3" t="inlineStr">
        <is>
          <t>HBM 单侧七槽</t>
        </is>
      </c>
      <c r="B5" s="4" t="n">
        <v>333.48854</v>
      </c>
      <c r="C5" s="4" t="n">
        <v>313.15</v>
      </c>
      <c r="D5" s="4" t="n">
        <v>99.22</v>
      </c>
      <c r="E5" s="5">
        <f>(B5-C5)/D5</f>
        <v/>
      </c>
      <c r="F5" s="3" t="inlineStr">
        <is>
          <t>—</t>
        </is>
      </c>
      <c r="G5" s="3" t="inlineStr">
        <is>
          <t>分母是单侧 99 W，不和 0.028 比</t>
        </is>
      </c>
    </row>
  </sheetData>
  <autoFilter ref="A3:G5"/>
  <mergeCells count="1">
    <mergeCell ref="A1:G1"/>
  </mergeCells>
  <pageMargins left="0.5" right="0.5" top="0.7" bottom="0.55" header="0.5" footer="0.5"/>
  <pageSetup orientation="landscape" paperSize="9" fitToHeight="0" fitToWidth="1"/>
  <headerFooter>
    <oddHeader>&amp;L局部 CFD 热阻</oddHeader>
    <oddFooter>&amp;C冷板总体设计  ·  2026-09-29&amp;R第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26" customHeight="1">
      <c r="A1" s="1" t="inlineStr">
        <is>
          <t>放行用的名义尺寸链</t>
        </is>
      </c>
    </row>
    <row r="3" ht="22" customHeight="1">
      <c r="A3" s="2" t="inlineStr">
        <is>
          <t>链</t>
        </is>
      </c>
      <c r="B3" s="2" t="inlineStr">
        <is>
          <t>组成</t>
        </is>
      </c>
      <c r="C3" s="2" t="inlineStr">
        <is>
          <t>计算 mm</t>
        </is>
      </c>
      <c r="D3" s="2" t="inlineStr">
        <is>
          <t>封闭环 mm</t>
        </is>
      </c>
      <c r="E3" s="2" t="inlineStr">
        <is>
          <t>差</t>
        </is>
      </c>
      <c r="F3" s="2" t="inlineStr">
        <is>
          <t>判定</t>
        </is>
      </c>
    </row>
    <row r="4" ht="22" customHeight="1">
      <c r="A4" s="3" t="inlineStr">
        <is>
          <t>GPU板宽</t>
        </is>
      </c>
      <c r="B4" s="3">
        <f>5+11+0.5+2+0.5+27+3+27+0.5+2+0.5+11+5</f>
        <v/>
      </c>
      <c r="C4" s="6">
        <f>5+11+0.5+2+0.5+27+3+27+0.5+2+0.5+11+5</f>
        <v/>
      </c>
      <c r="D4" s="4" t="n">
        <v>95</v>
      </c>
      <c r="E4" s="6">
        <f>C4-D4</f>
        <v/>
      </c>
      <c r="F4" s="7">
        <f>IF(ABS(E4)&lt;0.001,"闭合","不闭合")</f>
        <v/>
      </c>
    </row>
    <row r="5" ht="22" customHeight="1">
      <c r="A5" s="3" t="inlineStr">
        <is>
          <t>GPU板长</t>
        </is>
      </c>
      <c r="B5" s="3">
        <f>12.5+50+12.5</f>
        <v/>
      </c>
      <c r="C5" s="6">
        <f>12.5+50+12.5</f>
        <v/>
      </c>
      <c r="D5" s="4" t="n">
        <v>75</v>
      </c>
      <c r="E5" s="6">
        <f>C5-D5</f>
        <v/>
      </c>
      <c r="F5" s="7">
        <f>IF(ABS(E5)&lt;0.001,"闭合","不闭合")</f>
        <v/>
      </c>
    </row>
    <row r="6" ht="22" customHeight="1">
      <c r="A6" s="3" t="inlineStr">
        <is>
          <t>GPU板厚</t>
        </is>
      </c>
      <c r="B6" s="3">
        <f>2+1.5+2+2.5+0.5</f>
        <v/>
      </c>
      <c r="C6" s="6">
        <f>2+1.5+2+2.5+0.5</f>
        <v/>
      </c>
      <c r="D6" s="4" t="n">
        <v>8.5</v>
      </c>
      <c r="E6" s="6">
        <f>C6-D6</f>
        <v/>
      </c>
      <c r="F6" s="7">
        <f>IF(ABS(E6)&lt;0.001,"闭合","不闭合")</f>
        <v/>
      </c>
    </row>
    <row r="7" ht="22" customHeight="1">
      <c r="A7" s="3" t="inlineStr">
        <is>
          <t>HBM列宽</t>
        </is>
      </c>
      <c r="B7" s="3">
        <f>0.3+7*0.8+6*0.8+0.3</f>
        <v/>
      </c>
      <c r="C7" s="6">
        <f>0.3+7*0.8+6*0.8+0.3</f>
        <v/>
      </c>
      <c r="D7" s="4" t="n">
        <v>11</v>
      </c>
      <c r="E7" s="6">
        <f>C7-D7</f>
        <v/>
      </c>
      <c r="F7" s="7">
        <f>IF(ABS(E7)&lt;0.001,"闭合","不闭合")</f>
        <v/>
      </c>
    </row>
    <row r="8" ht="22" customHeight="1">
      <c r="A8" s="3" t="inlineStr">
        <is>
          <t>HBM铜厚</t>
        </is>
      </c>
      <c r="B8" s="3">
        <f>2+2+4</f>
        <v/>
      </c>
      <c r="C8" s="6">
        <f>2+2+4</f>
        <v/>
      </c>
      <c r="D8" s="4" t="n">
        <v>8</v>
      </c>
      <c r="E8" s="6">
        <f>C8-D8</f>
        <v/>
      </c>
      <c r="F8" s="7">
        <f>IF(ABS(E8)&lt;0.001,"闭合","不闭合")</f>
        <v/>
      </c>
    </row>
    <row r="9" ht="22" customHeight="1">
      <c r="A9" s="3" t="inlineStr">
        <is>
          <t>Grace板厚</t>
        </is>
      </c>
      <c r="B9" s="3">
        <f>2+1.2+0.3+2.5+2</f>
        <v/>
      </c>
      <c r="C9" s="6">
        <f>2+1.2+0.3+2.5+2</f>
        <v/>
      </c>
      <c r="D9" s="4" t="n">
        <v>8</v>
      </c>
      <c r="E9" s="6">
        <f>C9-D9</f>
        <v/>
      </c>
      <c r="F9" s="7">
        <f>IF(ABS(E9)&lt;0.001,"闭合","不闭合")</f>
        <v/>
      </c>
    </row>
    <row r="10" ht="22" customHeight="1">
      <c r="A10" s="3" t="inlineStr">
        <is>
          <t>节距8.333</t>
        </is>
      </c>
      <c r="B10" s="3">
        <f>6*(50/6)</f>
        <v/>
      </c>
      <c r="C10" s="6">
        <f>6*(50/6)</f>
        <v/>
      </c>
      <c r="D10" s="4" t="n">
        <v>50</v>
      </c>
      <c r="E10" s="6">
        <f>C10-D10</f>
        <v/>
      </c>
      <c r="F10" s="7">
        <f>IF(ABS(E10)&lt;0.001,"闭合","不闭合")</f>
        <v/>
      </c>
    </row>
    <row r="11" ht="22" customHeight="1">
      <c r="A11" s="3" t="inlineStr">
        <is>
          <t>节距8.00</t>
        </is>
      </c>
      <c r="B11" s="3">
        <f>6*8</f>
        <v/>
      </c>
      <c r="C11" s="6">
        <f>6*8</f>
        <v/>
      </c>
      <c r="D11" s="4" t="n">
        <v>50</v>
      </c>
      <c r="E11" s="6">
        <f>C11-D11</f>
        <v/>
      </c>
      <c r="F11" s="7">
        <f>IF(ABS(E11)&lt;0.001,"闭合","不闭合")</f>
        <v/>
      </c>
    </row>
  </sheetData>
  <autoFilter ref="A3:F11"/>
  <mergeCells count="1">
    <mergeCell ref="A1:F1"/>
  </mergeCells>
  <conditionalFormatting sqref="F4">
    <cfRule type="expression" priority="1" dxfId="0">
      <formula>F4="闭合"</formula>
    </cfRule>
    <cfRule type="expression" priority="2" dxfId="1">
      <formula>F4="不闭合"</formula>
    </cfRule>
  </conditionalFormatting>
  <conditionalFormatting sqref="F5">
    <cfRule type="expression" priority="3" dxfId="0">
      <formula>F5="闭合"</formula>
    </cfRule>
    <cfRule type="expression" priority="4" dxfId="1">
      <formula>F5="不闭合"</formula>
    </cfRule>
  </conditionalFormatting>
  <conditionalFormatting sqref="F6">
    <cfRule type="expression" priority="5" dxfId="0">
      <formula>F6="闭合"</formula>
    </cfRule>
    <cfRule type="expression" priority="6" dxfId="1">
      <formula>F6="不闭合"</formula>
    </cfRule>
  </conditionalFormatting>
  <conditionalFormatting sqref="F7">
    <cfRule type="expression" priority="7" dxfId="0">
      <formula>F7="闭合"</formula>
    </cfRule>
    <cfRule type="expression" priority="8" dxfId="1">
      <formula>F7="不闭合"</formula>
    </cfRule>
  </conditionalFormatting>
  <conditionalFormatting sqref="F8">
    <cfRule type="expression" priority="9" dxfId="0">
      <formula>F8="闭合"</formula>
    </cfRule>
    <cfRule type="expression" priority="10" dxfId="1">
      <formula>F8="不闭合"</formula>
    </cfRule>
  </conditionalFormatting>
  <conditionalFormatting sqref="F9">
    <cfRule type="expression" priority="11" dxfId="0">
      <formula>F9="闭合"</formula>
    </cfRule>
    <cfRule type="expression" priority="12" dxfId="1">
      <formula>F9="不闭合"</formula>
    </cfRule>
  </conditionalFormatting>
  <conditionalFormatting sqref="F10">
    <cfRule type="expression" priority="13" dxfId="0">
      <formula>F10="闭合"</formula>
    </cfRule>
    <cfRule type="expression" priority="14" dxfId="1">
      <formula>F10="不闭合"</formula>
    </cfRule>
  </conditionalFormatting>
  <conditionalFormatting sqref="F11">
    <cfRule type="expression" priority="15" dxfId="0">
      <formula>F11="闭合"</formula>
    </cfRule>
    <cfRule type="expression" priority="16" dxfId="1">
      <formula>F11="不闭合"</formula>
    </cfRule>
  </conditionalFormatting>
  <pageMargins left="0.5" right="0.5" top="0.7" bottom="0.55" header="0.5" footer="0.5"/>
  <pageSetup orientation="landscape" paperSize="9" fitToHeight="0" fitToWidth="1"/>
  <headerFooter>
    <oddHeader>&amp;L放行用的名义尺寸链</oddHeader>
    <oddFooter>&amp;C冷板总体设计  ·  2026-09-29&amp;R第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DR4 试验门（实测未填）</t>
        </is>
      </c>
    </row>
    <row r="3" ht="22" customHeight="1">
      <c r="A3" s="2" t="inlineStr">
        <is>
          <t>试验</t>
        </is>
      </c>
      <c r="B3" s="2" t="inlineStr">
        <is>
          <t>判据</t>
        </is>
      </c>
      <c r="C3" s="2" t="inlineStr">
        <is>
          <t>单位</t>
        </is>
      </c>
      <c r="D3" s="2" t="inlineStr">
        <is>
          <t>实测</t>
        </is>
      </c>
      <c r="E3" s="2" t="inlineStr">
        <is>
          <t>判定</t>
        </is>
      </c>
    </row>
    <row r="4" ht="22" customHeight="1">
      <c r="A4" s="3" t="inlineStr">
        <is>
          <t>GPU TTV 热阻</t>
        </is>
      </c>
      <c r="B4" s="4" t="n">
        <v>0.028</v>
      </c>
      <c r="C4" s="3" t="inlineStr">
        <is>
          <t>°C/W</t>
        </is>
      </c>
      <c r="D4" s="8" t="n"/>
      <c r="E4" s="7">
        <f>IF(D4="","未测",IF(D4&lt;B4,"通过","未通过"))</f>
        <v/>
      </c>
    </row>
    <row r="5" ht="22" customHeight="1">
      <c r="A5" s="3" t="inlineStr">
        <is>
          <t>GPU 流阻</t>
        </is>
      </c>
      <c r="B5" s="4" t="n">
        <v>18</v>
      </c>
      <c r="C5" s="3" t="inlineStr">
        <is>
          <t>kPa</t>
        </is>
      </c>
      <c r="D5" s="8" t="n"/>
      <c r="E5" s="7">
        <f>IF(D5="","未测",IF(D5&lt;=B5,"通过","未通过"))</f>
        <v/>
      </c>
    </row>
    <row r="6" ht="22" customHeight="1">
      <c r="A6" s="3" t="inlineStr">
        <is>
          <t>Grace 支路压降下限</t>
        </is>
      </c>
      <c r="B6" s="4" t="n">
        <v>8</v>
      </c>
      <c r="C6" s="3" t="inlineStr">
        <is>
          <t>kPa</t>
        </is>
      </c>
      <c r="D6" s="8" t="n"/>
      <c r="E6" s="7">
        <f>IF(D6="","未测",IF(D6&gt;=B6,"通过","未通过"))</f>
        <v/>
      </c>
    </row>
    <row r="7" ht="22" customHeight="1">
      <c r="A7" s="3" t="inlineStr">
        <is>
          <t>Grace 支路压降上限</t>
        </is>
      </c>
      <c r="B7" s="4" t="n">
        <v>12</v>
      </c>
      <c r="C7" s="3" t="inlineStr">
        <is>
          <t>kPa</t>
        </is>
      </c>
      <c r="D7" s="8" t="n"/>
      <c r="E7" s="7">
        <f>IF(D7="","未测",IF(D7&lt;=B7,"通过","未通过"))</f>
        <v/>
      </c>
    </row>
    <row r="8" ht="22" customHeight="1">
      <c r="A8" s="3" t="inlineStr">
        <is>
          <t>两 die 温差</t>
        </is>
      </c>
      <c r="B8" s="4" t="n">
        <v>5</v>
      </c>
      <c r="C8" s="3" t="inlineStr">
        <is>
          <t>K</t>
        </is>
      </c>
      <c r="D8" s="8" t="n"/>
      <c r="E8" s="7">
        <f>IF(D8="","未测",IF(D8&lt;=B8,"通过","未通过"))</f>
        <v/>
      </c>
    </row>
  </sheetData>
  <autoFilter ref="A3:E8"/>
  <mergeCells count="1">
    <mergeCell ref="A1:E1"/>
  </mergeCells>
  <pageMargins left="0.5" right="0.5" top="0.7" bottom="0.55" header="0.5" footer="0.5"/>
  <pageSetup orientation="landscape" paperSize="9" fitToHeight="0" fitToWidth="1"/>
  <headerFooter>
    <oddHeader>&amp;LDR4 试验门（实测未填）</oddHeader>
    <oddFooter>&amp;C冷板总体设计  ·  2026-09-29&amp;R第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2026-09-29T00:19:45Z</dcterms:created>
  <dcterms:modified xmlns:dcterms="http://purl.org/dc/terms/" xmlns:xsi="http://www.w3.org/2001/XMLSchema-instance" xsi:type="dcterms:W3CDTF">2026-09-29T00:19:45Z</dcterms:modified>
</cp:coreProperties>
</file>