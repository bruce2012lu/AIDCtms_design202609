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权衡" sheetId="2" state="visible" r:id="rId2"/>
    <sheet xmlns:r="http://schemas.openxmlformats.org/officeDocument/2006/relationships" name="说明" sheetId="3" state="visible" r:id="rId3"/>
  </sheets>
  <definedNames>
    <definedName name="w1">'权衡'!$B$4</definedName>
    <definedName name="w2">'权衡'!$C$4</definedName>
    <definedName name="w3">'权衡'!$D$4</definedName>
    <definedName name="w4">'权衡'!$E$4</definedName>
    <definedName name="w5">'权衡'!$F$4</definedName>
    <definedName name="w6">'权衡'!$G$4</definedName>
    <definedName name="_xlnm._FilterDatabase" localSheetId="0" hidden="1">'封面'!$A$3:$B$6</definedName>
    <definedName name="_xlnm.Print_Titles" localSheetId="0">'封面'!$1:$3</definedName>
    <definedName name="_xlnm._FilterDatabase" localSheetId="1" hidden="1">'权衡'!$A$3:$J$8</definedName>
    <definedName name="_xlnm.Print_Titles" localSheetId="1">'权衡'!$1:$3</definedName>
    <definedName name="_xlnm._FilterDatabase" localSheetId="2" hidden="1">'说明'!$A$3:$B$6</definedName>
    <definedName name="_xlnm.Print_Titles" localSheetId="2">'说明'!$1:$3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0B3A66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DR1 方案权衡</t>
        </is>
      </c>
    </row>
    <row r="3" ht="22" customHeight="1">
      <c r="A3" s="2" t="inlineStr">
        <is>
          <t>项</t>
        </is>
      </c>
      <c r="B3" s="2" t="inlineStr">
        <is>
          <t>内容</t>
        </is>
      </c>
    </row>
    <row r="4" ht="30" customHeight="1">
      <c r="A4" s="3" t="inlineStr">
        <is>
          <t>文件</t>
        </is>
      </c>
      <c r="B4" s="3" t="inlineStr">
        <is>
          <t>02_DR1_方案权衡.xlsx</t>
        </is>
      </c>
    </row>
    <row r="5" ht="30" customHeight="1">
      <c r="A5" s="3" t="inlineStr">
        <is>
          <t>日期</t>
        </is>
      </c>
      <c r="B5" s="3" t="inlineStr">
        <is>
          <t>2026-09-29</t>
        </is>
      </c>
    </row>
    <row r="6" ht="30" customHeight="1">
      <c r="A6" s="3" t="inlineStr">
        <is>
          <t>用途</t>
        </is>
      </c>
      <c r="B6" s="3" t="inlineStr">
        <is>
          <t>② 概念与选型。权重和分数是蓝字，加权是公式。</t>
        </is>
      </c>
    </row>
  </sheetData>
  <autoFilter ref="A3:B6"/>
  <mergeCells count="1">
    <mergeCell ref="A1:B1"/>
  </mergeCells>
  <pageMargins left="0.5" right="0.5" top="0.7" bottom="0.55" header="0.5" footer="0.5"/>
  <pageSetup orientation="portrait" paperSize="9" fitToHeight="1" fitToWidth="1"/>
  <headerFooter>
    <oddHeader>&amp;LDR1 方案权衡</oddHeader>
    <oddFooter>&amp;C冷板总体设计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 ht="26" customHeight="1">
      <c r="A1" s="1" t="inlineStr">
        <is>
          <t>方案权衡</t>
        </is>
      </c>
    </row>
    <row r="3" ht="22" customHeight="1">
      <c r="A3" s="2" t="inlineStr">
        <is>
          <t>方案</t>
        </is>
      </c>
      <c r="B3" s="2" t="inlineStr">
        <is>
          <t>热点</t>
        </is>
      </c>
      <c r="C3" s="2" t="inlineStr">
        <is>
          <t>HBM安全</t>
        </is>
      </c>
      <c r="D3" s="2" t="inlineStr">
        <is>
          <t>压降</t>
        </is>
      </c>
      <c r="E3" s="2" t="inlineStr">
        <is>
          <t>制造</t>
        </is>
      </c>
      <c r="F3" s="2" t="inlineStr">
        <is>
          <t>防堵</t>
        </is>
      </c>
      <c r="G3" s="2" t="inlineStr">
        <is>
          <t>专利</t>
        </is>
      </c>
      <c r="H3" s="2" t="inlineStr">
        <is>
          <t>加权</t>
        </is>
      </c>
      <c r="I3" s="2" t="inlineStr">
        <is>
          <t>报告印数</t>
        </is>
      </c>
      <c r="J3" s="2" t="inlineStr">
        <is>
          <t>差</t>
        </is>
      </c>
    </row>
    <row r="4" ht="22" customHeight="1">
      <c r="A4" s="3" t="inlineStr">
        <is>
          <t>权重</t>
        </is>
      </c>
      <c r="B4" s="4" t="n">
        <v>0.25</v>
      </c>
      <c r="C4" s="4" t="n">
        <v>0.2</v>
      </c>
      <c r="D4" s="4" t="n">
        <v>0.15</v>
      </c>
      <c r="E4" s="4" t="n">
        <v>0.2</v>
      </c>
      <c r="F4" s="4" t="n">
        <v>0.1</v>
      </c>
      <c r="G4" s="4" t="n">
        <v>0.1</v>
      </c>
      <c r="H4" s="3" t="inlineStr"/>
      <c r="I4" s="3" t="inlineStr"/>
      <c r="J4" s="3" t="inlineStr"/>
    </row>
    <row r="5" ht="22" customHeight="1">
      <c r="A5" s="3" t="inlineStr">
        <is>
          <t>铲齿微通道</t>
        </is>
      </c>
      <c r="B5" s="4" t="n">
        <v>3</v>
      </c>
      <c r="C5" s="4" t="n">
        <v>3</v>
      </c>
      <c r="D5" s="4" t="n">
        <v>2</v>
      </c>
      <c r="E5" s="4" t="n">
        <v>5</v>
      </c>
      <c r="F5" s="4" t="n">
        <v>5</v>
      </c>
      <c r="G5" s="4" t="n">
        <v>1</v>
      </c>
      <c r="H5" s="5">
        <f>B5*w1+C5*w2+D5*w3+E5*w4+F5*w5+G5*w6</f>
        <v/>
      </c>
      <c r="I5" s="6" t="n">
        <v>3.2</v>
      </c>
      <c r="J5" s="7">
        <f>H5-I5</f>
        <v/>
      </c>
    </row>
    <row r="6" ht="22" customHeight="1">
      <c r="A6" s="3" t="inlineStr">
        <is>
          <t>纯射流</t>
        </is>
      </c>
      <c r="B6" s="4" t="n">
        <v>5</v>
      </c>
      <c r="C6" s="4" t="n">
        <v>1</v>
      </c>
      <c r="D6" s="4" t="n">
        <v>3</v>
      </c>
      <c r="E6" s="4" t="n">
        <v>3</v>
      </c>
      <c r="F6" s="4" t="n">
        <v>2</v>
      </c>
      <c r="G6" s="4" t="n">
        <v>2</v>
      </c>
      <c r="H6" s="5">
        <f>B6*w1+C6*w2+D6*w3+E6*w4+F6*w5+G6*w6</f>
        <v/>
      </c>
      <c r="I6" s="6" t="n">
        <v>2.95</v>
      </c>
      <c r="J6" s="7">
        <f>H6-I6</f>
        <v/>
      </c>
    </row>
    <row r="7" ht="22" customHeight="1">
      <c r="A7" s="3" t="inlineStr">
        <is>
          <t>增材拓扑</t>
        </is>
      </c>
      <c r="B7" s="4" t="n">
        <v>4</v>
      </c>
      <c r="C7" s="4" t="n">
        <v>3</v>
      </c>
      <c r="D7" s="4" t="n">
        <v>4</v>
      </c>
      <c r="E7" s="4" t="n">
        <v>1</v>
      </c>
      <c r="F7" s="4" t="n">
        <v>2</v>
      </c>
      <c r="G7" s="4" t="n">
        <v>3</v>
      </c>
      <c r="H7" s="5">
        <f>B7*w1+C7*w2+D7*w3+E7*w4+F7*w5+G7*w6</f>
        <v/>
      </c>
      <c r="I7" s="6" t="n">
        <v>2.85</v>
      </c>
      <c r="J7" s="7">
        <f>H7-I7</f>
        <v/>
      </c>
    </row>
    <row r="8" ht="22" customHeight="1">
      <c r="A8" s="3" t="inlineStr">
        <is>
          <t>分区杂交</t>
        </is>
      </c>
      <c r="B8" s="4" t="n">
        <v>5</v>
      </c>
      <c r="C8" s="4" t="n">
        <v>5</v>
      </c>
      <c r="D8" s="4" t="n">
        <v>4</v>
      </c>
      <c r="E8" s="4" t="n">
        <v>4</v>
      </c>
      <c r="F8" s="4" t="n">
        <v>3</v>
      </c>
      <c r="G8" s="4" t="n">
        <v>5</v>
      </c>
      <c r="H8" s="5">
        <f>B8*w1+C8*w2+D8*w3+E8*w4+F8*w5+G8*w6</f>
        <v/>
      </c>
      <c r="I8" s="6" t="n">
        <v>4.5</v>
      </c>
      <c r="J8" s="7">
        <f>H8-I8</f>
        <v/>
      </c>
    </row>
  </sheetData>
  <autoFilter ref="A3:J8"/>
  <mergeCells count="1">
    <mergeCell ref="A1:J1"/>
  </mergeCells>
  <pageMargins left="0.5" right="0.5" top="0.7" bottom="0.55" header="0.5" footer="0.5"/>
  <pageSetup orientation="landscape" paperSize="9" fitToHeight="0" fitToWidth="1"/>
  <headerFooter>
    <oddHeader>&amp;L方案权衡</oddHeader>
    <oddFooter>&amp;C冷板总体设计  ·  2026-09-29&amp;R第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6" customHeight="1">
      <c r="A1" s="1" t="inlineStr">
        <is>
          <t>怎么读差值</t>
        </is>
      </c>
    </row>
    <row r="3" ht="22" customHeight="1">
      <c r="A3" s="2" t="inlineStr">
        <is>
          <t>项</t>
        </is>
      </c>
      <c r="B3" s="2" t="inlineStr">
        <is>
          <t>内容</t>
        </is>
      </c>
    </row>
    <row r="4" ht="22" customHeight="1">
      <c r="A4" s="3" t="inlineStr">
        <is>
          <t>重算</t>
        </is>
      </c>
      <c r="B4" s="3" t="inlineStr">
        <is>
          <t>加权等于六项分数乘第 4 行权重。</t>
        </is>
      </c>
    </row>
    <row r="5" ht="22" customHeight="1">
      <c r="A5" s="3" t="inlineStr">
        <is>
          <t>报告印数</t>
        </is>
      </c>
      <c r="B5" s="3" t="inlineStr">
        <is>
          <t>v2.0 表末的 3.20 / 2.95 / 2.85 / 4.50。</t>
        </is>
      </c>
    </row>
    <row r="6" ht="22" customHeight="1">
      <c r="A6" s="3" t="inlineStr">
        <is>
          <t>差</t>
        </is>
      </c>
      <c r="B6" s="3" t="inlineStr">
        <is>
          <t>公式减印数，约 0.05。名次仍是分区杂交最高。</t>
        </is>
      </c>
    </row>
  </sheetData>
  <autoFilter ref="A3:B6"/>
  <mergeCells count="1">
    <mergeCell ref="A1:B1"/>
  </mergeCells>
  <pageMargins left="0.5" right="0.5" top="0.7" bottom="0.55" header="0.5" footer="0.5"/>
  <pageSetup orientation="portrait" paperSize="9" fitToHeight="0" fitToWidth="1"/>
  <headerFooter>
    <oddHeader>&amp;L怎么读差值</oddHeader>
    <oddFooter>&amp;C冷板总体设计  ·  2026-09-29&amp;R第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2026-09-29T00:19:45Z</dcterms:created>
  <dcterms:modified xmlns:dcterms="http://purl.org/dc/terms/" xmlns:xsi="http://www.w3.org/2001/XMLSchema-instance" xsi:type="dcterms:W3CDTF">2026-09-29T00:19:45Z</dcterms:modified>
</cp:coreProperties>
</file>