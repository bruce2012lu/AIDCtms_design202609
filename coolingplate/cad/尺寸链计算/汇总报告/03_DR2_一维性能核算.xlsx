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" sheetId="2" state="visible" r:id="rId2"/>
    <sheet xmlns:r="http://schemas.openxmlformats.org/officeDocument/2006/relationships" name="GPU" sheetId="3" state="visible" r:id="rId3"/>
    <sheet xmlns:r="http://schemas.openxmlformats.org/officeDocument/2006/relationships" name="HBM" sheetId="4" state="visible" r:id="rId4"/>
    <sheet xmlns:r="http://schemas.openxmlformats.org/officeDocument/2006/relationships" name="Grace" sheetId="5" state="visible" r:id="rId5"/>
    <sheet xmlns:r="http://schemas.openxmlformats.org/officeDocument/2006/relationships" name="孔径" sheetId="6" state="visible" r:id="rId6"/>
  </sheets>
  <definedNames>
    <definedName name="rho">'输入'!$C$4</definedName>
    <definedName name="cp">'输入'!$C$5</definedName>
    <definedName name="mu">'输入'!$C$6</definedName>
    <definedName name="kcu">'输入'!$C$7</definedName>
    <definedName name="Pa">'输入'!$C$8</definedName>
    <definedName name="Qa">'输入'!$C$9</definedName>
    <definedName name="Qgpu">'输入'!$C$10</definedName>
    <definedName name="Njet">'输入'!$C$11</definedName>
    <definedName name="Dmm">'输入'!$C$12</definedName>
    <definedName name="Kjet">'输入'!$C$13</definedName>
    <definedName name="Rtim_lo">'输入'!$C$14</definedName>
    <definedName name="Rtim_hi">'输入'!$C$15</definedName>
    <definedName name="tcu">'输入'!$C$16</definedName>
    <definedName name="Adie">'输入'!$C$17</definedName>
    <definedName name="Rconv">'输入'!$C$18</definedName>
    <definedName name="Rtarget">'输入'!$C$19</definedName>
    <definedName name="Qg_hbm">'输入'!$C$20</definedName>
    <definedName name="n_old">'输入'!$C$21</definedName>
    <definedName name="w_old">'输入'!$C$22</definedName>
    <definedName name="h_old">'输入'!$C$23</definedName>
    <definedName name="q_side">'输入'!$C$24</definedName>
    <definedName name="n_new">'输入'!$C$25</definedName>
    <definedName name="w_new">'输入'!$C$26</definedName>
    <definedName name="h_new">'输入'!$C$27</definedName>
    <definedName name="Lslot">'输入'!$C$28</definedName>
    <definedName name="Pgr">'输入'!$C$29</definedName>
    <definedName name="dTset">'输入'!$C$30</definedName>
    <definedName name="Qgr">'输入'!$C$31</definedName>
    <definedName name="Pcpu">'输入'!$C$32</definedName>
    <definedName name="Pmem">'输入'!$C$33</definedName>
    <definedName name="ncpu">'输入'!$C$34</definedName>
    <definedName name="wcpu">'输入'!$C$35</definedName>
    <definedName name="hcpu">'输入'!$C$36</definedName>
    <definedName name="Lcpu">'输入'!$C$37</definedName>
    <definedName name="Lhcpu">'输入'!$C$38</definedName>
    <definedName name="nmem">'输入'!$C$39</definedName>
    <definedName name="wmem">'输入'!$C$40</definedName>
    <definedName name="hmem">'输入'!$C$41</definedName>
    <definedName name="Lmem">'输入'!$C$42</definedName>
    <definedName name="Lhmem">'输入'!$C$43</definedName>
    <definedName name="kturn">'输入'!$C$44</definedName>
    <definedName name="rhoG">'输入'!$C$45</definedName>
    <definedName name="kG">'输入'!$C$46</definedName>
    <definedName name="_xlnm._FilterDatabase" localSheetId="0" hidden="1">'封面'!$A$3:$B$7</definedName>
    <definedName name="_xlnm.Print_Titles" localSheetId="0">'封面'!$1:$3</definedName>
    <definedName name="_xlnm._FilterDatabase" localSheetId="1" hidden="1">'输入'!$A$3:$D$46</definedName>
    <definedName name="_xlnm.Print_Titles" localSheetId="1">'输入'!$1:$3</definedName>
    <definedName name="_xlnm._FilterDatabase" localSheetId="2" hidden="1">'GPU'!$A$3:$E$13</definedName>
    <definedName name="_xlnm.Print_Titles" localSheetId="2">'GPU'!$1:$3</definedName>
    <definedName name="_xlnm._FilterDatabase" localSheetId="3" hidden="1">'HBM'!$A$3:$H$5</definedName>
    <definedName name="_xlnm.Print_Titles" localSheetId="3">'HBM'!$1:$3</definedName>
    <definedName name="_xlnm._FilterDatabase" localSheetId="4" hidden="1">'Grace'!$A$3:$G$6</definedName>
    <definedName name="_xlnm.Print_Titles" localSheetId="4">'Grace'!$1:$3</definedName>
    <definedName name="_xlnm._FilterDatabase" localSheetId="5" hidden="1">'孔径'!$A$3:$G$8</definedName>
    <definedName name="_xlnm.Print_Titles" localSheetId="5">'孔径'!$1:$3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"/>
  </numFmts>
  <fonts count="6">
    <font>
      <name val="Calibri"/>
      <family val="2"/>
      <color theme="1"/>
      <sz val="11"/>
      <scheme val="minor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0B3A66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</fills>
  <borders count="6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  <border>
      <left/>
      <right/>
      <top style="thin">
        <color rgb="00D5DDE6"/>
      </top>
      <bottom/>
      <diagonal/>
    </border>
    <border>
      <left/>
      <right style="thin">
        <color rgb="00D5DDE6"/>
      </right>
      <top style="thin">
        <color rgb="00D5DDE6"/>
      </top>
      <bottom/>
      <diagonal/>
    </border>
    <border>
      <left/>
      <right/>
      <top style="thin">
        <color rgb="00D5DDE6"/>
      </top>
      <bottom style="thin">
        <color rgb="00D5DDE6"/>
      </bottom>
      <diagonal/>
    </border>
    <border>
      <left/>
      <right style="thin">
        <color rgb="00D5DDE6"/>
      </right>
      <top style="thin">
        <color rgb="00D5DDE6"/>
      </top>
      <bottom style="thin">
        <color rgb="00D5DDE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left" vertical="center" wrapText="1"/>
    </xf>
    <xf numFmtId="11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2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DR2 一维性能核算</t>
        </is>
      </c>
    </row>
    <row r="3" ht="22" customHeight="1">
      <c r="A3" s="2" t="inlineStr">
        <is>
          <t>项</t>
        </is>
      </c>
      <c r="B3" s="2" t="inlineStr">
        <is>
          <t>内容</t>
        </is>
      </c>
    </row>
    <row r="4" ht="30" customHeight="1">
      <c r="A4" s="3" t="inlineStr">
        <is>
          <t>文件</t>
        </is>
      </c>
      <c r="B4" s="3" t="inlineStr">
        <is>
          <t>03_DR2_一维性能核算.xlsx</t>
        </is>
      </c>
    </row>
    <row r="5" ht="30" customHeight="1">
      <c r="A5" s="3" t="inlineStr">
        <is>
          <t>日期</t>
        </is>
      </c>
      <c r="B5" s="3" t="inlineStr">
        <is>
          <t>2026-09-29</t>
        </is>
      </c>
    </row>
    <row r="6" ht="30" customHeight="1">
      <c r="A6" s="3" t="inlineStr">
        <is>
          <t>用途</t>
        </is>
      </c>
      <c r="B6" s="3" t="inlineStr">
        <is>
          <t>③④ 性能与一维。蓝字为输入。孔速、温升、热阻合计、Grace 通道均为公式。</t>
        </is>
      </c>
    </row>
    <row r="7" ht="30" customHeight="1">
      <c r="A7" s="3" t="inlineStr">
        <is>
          <t>对流热阻</t>
        </is>
      </c>
      <c r="B7" s="3" t="inlineStr">
        <is>
          <t>GPU 短槽模型的对流热阻是模型输出，本表当作输入。改槽之后要重跑计算模块，不要只改这个格子就当成新的关联式。</t>
        </is>
      </c>
    </row>
  </sheetData>
  <autoFilter ref="A3:B7"/>
  <mergeCells count="1">
    <mergeCell ref="A1:B1"/>
  </mergeCells>
  <pageMargins left="0.5" right="0.5" top="0.7" bottom="0.55" header="0.5" footer="0.5"/>
  <pageSetup orientation="portrait" paperSize="9" fitToHeight="1" fitToWidth="1"/>
  <headerFooter>
    <oddHeader>&amp;LDR2 一维性能核算</oddHeader>
    <oddFooter>&amp;C冷板总体设计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</cols>
  <sheetData>
    <row r="1" ht="26" customHeight="1">
      <c r="A1" s="1" t="inlineStr">
        <is>
          <t>输入</t>
        </is>
      </c>
    </row>
    <row r="3" ht="22" customHeight="1">
      <c r="A3" s="2" t="inlineStr">
        <is>
          <t>符号</t>
        </is>
      </c>
      <c r="B3" s="2" t="inlineStr">
        <is>
          <t>含义</t>
        </is>
      </c>
      <c r="C3" s="2" t="inlineStr">
        <is>
          <t>数值</t>
        </is>
      </c>
      <c r="D3" s="2" t="inlineStr">
        <is>
          <t>单位</t>
        </is>
      </c>
    </row>
    <row r="4" ht="22" customHeight="1">
      <c r="A4" s="3" t="inlineStr">
        <is>
          <t>rho</t>
        </is>
      </c>
      <c r="B4" s="3" t="inlineStr">
        <is>
          <t>密度</t>
        </is>
      </c>
      <c r="C4" s="4" t="n">
        <v>992.2</v>
      </c>
      <c r="D4" s="3" t="inlineStr">
        <is>
          <t>kg/m3</t>
        </is>
      </c>
    </row>
    <row r="5" ht="22" customHeight="1">
      <c r="A5" s="3" t="inlineStr">
        <is>
          <t>cp</t>
        </is>
      </c>
      <c r="B5" s="3" t="inlineStr">
        <is>
          <t>比热</t>
        </is>
      </c>
      <c r="C5" s="4" t="n">
        <v>4179</v>
      </c>
      <c r="D5" s="3" t="inlineStr">
        <is>
          <t>J/kgK</t>
        </is>
      </c>
    </row>
    <row r="6" ht="22" customHeight="1">
      <c r="A6" s="3" t="inlineStr">
        <is>
          <t>mu</t>
        </is>
      </c>
      <c r="B6" s="3" t="inlineStr">
        <is>
          <t>粘度</t>
        </is>
      </c>
      <c r="C6" s="4" t="n">
        <v>0.000653</v>
      </c>
      <c r="D6" s="3" t="inlineStr">
        <is>
          <t>Pa·s</t>
        </is>
      </c>
    </row>
    <row r="7" ht="22" customHeight="1">
      <c r="A7" s="3" t="inlineStr">
        <is>
          <t>kcu</t>
        </is>
      </c>
      <c r="B7" s="3" t="inlineStr">
        <is>
          <t>铜导热</t>
        </is>
      </c>
      <c r="C7" s="4" t="n">
        <v>390</v>
      </c>
      <c r="D7" s="3" t="inlineStr">
        <is>
          <t>W/mK</t>
        </is>
      </c>
    </row>
    <row r="8" ht="22" customHeight="1">
      <c r="A8" s="3" t="inlineStr">
        <is>
          <t>Pa</t>
        </is>
      </c>
      <c r="B8" s="3" t="inlineStr">
        <is>
          <t>DP-A 功率</t>
        </is>
      </c>
      <c r="C8" s="4" t="n">
        <v>1100</v>
      </c>
      <c r="D8" s="3" t="inlineStr">
        <is>
          <t>W</t>
        </is>
      </c>
    </row>
    <row r="9" ht="22" customHeight="1">
      <c r="A9" s="3" t="inlineStr">
        <is>
          <t>Qa</t>
        </is>
      </c>
      <c r="B9" s="3" t="inlineStr">
        <is>
          <t>DP-A 流量</t>
        </is>
      </c>
      <c r="C9" s="4" t="n">
        <v>2</v>
      </c>
      <c r="D9" s="3" t="inlineStr">
        <is>
          <t>L/min</t>
        </is>
      </c>
    </row>
    <row r="10" ht="22" customHeight="1">
      <c r="A10" s="3" t="inlineStr">
        <is>
          <t>Qgpu</t>
        </is>
      </c>
      <c r="B10" s="3" t="inlineStr">
        <is>
          <t>GPU 流量</t>
        </is>
      </c>
      <c r="C10" s="4" t="n">
        <v>1.6</v>
      </c>
      <c r="D10" s="3" t="inlineStr">
        <is>
          <t>L/min</t>
        </is>
      </c>
    </row>
    <row r="11" ht="22" customHeight="1">
      <c r="A11" s="3" t="inlineStr">
        <is>
          <t>Njet</t>
        </is>
      </c>
      <c r="B11" s="3" t="inlineStr">
        <is>
          <t>孔数</t>
        </is>
      </c>
      <c r="C11" s="4" t="n">
        <v>216</v>
      </c>
      <c r="D11" s="3" t="inlineStr">
        <is>
          <t>个</t>
        </is>
      </c>
    </row>
    <row r="12" ht="22" customHeight="1">
      <c r="A12" s="3" t="inlineStr">
        <is>
          <t>Dmm</t>
        </is>
      </c>
      <c r="B12" s="3" t="inlineStr">
        <is>
          <t>孔径</t>
        </is>
      </c>
      <c r="C12" s="4" t="n">
        <v>0.5</v>
      </c>
      <c r="D12" s="3" t="inlineStr">
        <is>
          <t>mm</t>
        </is>
      </c>
    </row>
    <row r="13" ht="22" customHeight="1">
      <c r="A13" s="3" t="inlineStr">
        <is>
          <t>Kjet</t>
        </is>
      </c>
      <c r="B13" s="3" t="inlineStr">
        <is>
          <t>孔口阻力系数</t>
        </is>
      </c>
      <c r="C13" s="4" t="n">
        <v>1.8</v>
      </c>
      <c r="D13" s="3" t="inlineStr">
        <is>
          <t>-</t>
        </is>
      </c>
    </row>
    <row r="14" ht="22" customHeight="1">
      <c r="A14" s="3" t="inlineStr">
        <is>
          <t>Rtim_lo</t>
        </is>
      </c>
      <c r="B14" s="3" t="inlineStr">
        <is>
          <t>TIM2 下界</t>
        </is>
      </c>
      <c r="C14" s="4" t="n">
        <v>0.004</v>
      </c>
      <c r="D14" s="3" t="inlineStr">
        <is>
          <t>°C/W</t>
        </is>
      </c>
    </row>
    <row r="15" ht="22" customHeight="1">
      <c r="A15" s="3" t="inlineStr">
        <is>
          <t>Rtim_hi</t>
        </is>
      </c>
      <c r="B15" s="3" t="inlineStr">
        <is>
          <t>TIM2 上界</t>
        </is>
      </c>
      <c r="C15" s="4" t="n">
        <v>0.008</v>
      </c>
      <c r="D15" s="3" t="inlineStr">
        <is>
          <t>°C/W</t>
        </is>
      </c>
    </row>
    <row r="16" ht="22" customHeight="1">
      <c r="A16" s="3" t="inlineStr">
        <is>
          <t>tcu</t>
        </is>
      </c>
      <c r="B16" s="3" t="inlineStr">
        <is>
          <t>余铜</t>
        </is>
      </c>
      <c r="C16" s="4" t="n">
        <v>2</v>
      </c>
      <c r="D16" s="3" t="inlineStr">
        <is>
          <t>mm</t>
        </is>
      </c>
    </row>
    <row r="17" ht="22" customHeight="1">
      <c r="A17" s="3" t="inlineStr">
        <is>
          <t>Adie</t>
        </is>
      </c>
      <c r="B17" s="3" t="inlineStr">
        <is>
          <t>两 die 面积</t>
        </is>
      </c>
      <c r="C17" s="4" t="n">
        <v>1512</v>
      </c>
      <c r="D17" s="3" t="inlineStr">
        <is>
          <t>mm2</t>
        </is>
      </c>
    </row>
    <row r="18" ht="22" customHeight="1">
      <c r="A18" s="3" t="inlineStr">
        <is>
          <t>Rconv</t>
        </is>
      </c>
      <c r="B18" s="3" t="inlineStr">
        <is>
          <t>短槽对流热阻</t>
        </is>
      </c>
      <c r="C18" s="4" t="n">
        <v>0.02523900989585756</v>
      </c>
      <c r="D18" s="3" t="inlineStr">
        <is>
          <t>°C/W</t>
        </is>
      </c>
    </row>
    <row r="19" ht="22" customHeight="1">
      <c r="A19" s="3" t="inlineStr">
        <is>
          <t>Rtarget</t>
        </is>
      </c>
      <c r="B19" s="3" t="inlineStr">
        <is>
          <t>热阻目标</t>
        </is>
      </c>
      <c r="C19" s="4" t="n">
        <v>0.028</v>
      </c>
      <c r="D19" s="3" t="inlineStr">
        <is>
          <t>°C/W</t>
        </is>
      </c>
    </row>
    <row r="20" ht="22" customHeight="1">
      <c r="A20" s="3" t="inlineStr">
        <is>
          <t>Qg_hbm</t>
        </is>
      </c>
      <c r="B20" s="3" t="inlineStr">
        <is>
          <t>HBM 总流量</t>
        </is>
      </c>
      <c r="C20" s="4" t="n">
        <v>0.4</v>
      </c>
      <c r="D20" s="3" t="inlineStr">
        <is>
          <t>L/min</t>
        </is>
      </c>
    </row>
    <row r="21" ht="22" customHeight="1">
      <c r="A21" s="3" t="inlineStr">
        <is>
          <t>n_old</t>
        </is>
      </c>
      <c r="B21" s="3" t="inlineStr">
        <is>
          <t>旧截面条数</t>
        </is>
      </c>
      <c r="C21" s="4" t="n">
        <v>16</v>
      </c>
      <c r="D21" s="3" t="inlineStr">
        <is>
          <t>条</t>
        </is>
      </c>
    </row>
    <row r="22" ht="22" customHeight="1">
      <c r="A22" s="3" t="inlineStr">
        <is>
          <t>w_old</t>
        </is>
      </c>
      <c r="B22" s="3" t="inlineStr">
        <is>
          <t>旧槽宽</t>
        </is>
      </c>
      <c r="C22" s="4" t="n">
        <v>0.6</v>
      </c>
      <c r="D22" s="3" t="inlineStr">
        <is>
          <t>mm</t>
        </is>
      </c>
    </row>
    <row r="23" ht="22" customHeight="1">
      <c r="A23" s="3" t="inlineStr">
        <is>
          <t>h_old</t>
        </is>
      </c>
      <c r="B23" s="3" t="inlineStr">
        <is>
          <t>旧槽深</t>
        </is>
      </c>
      <c r="C23" s="4" t="n">
        <v>1.5</v>
      </c>
      <c r="D23" s="3" t="inlineStr">
        <is>
          <t>mm</t>
        </is>
      </c>
    </row>
    <row r="24" ht="22" customHeight="1">
      <c r="A24" s="3" t="inlineStr">
        <is>
          <t>q_side</t>
        </is>
      </c>
      <c r="B24" s="3" t="inlineStr">
        <is>
          <t>新截面单侧流量</t>
        </is>
      </c>
      <c r="C24" s="4" t="n">
        <v>0.2</v>
      </c>
      <c r="D24" s="3" t="inlineStr">
        <is>
          <t>L/min</t>
        </is>
      </c>
    </row>
    <row r="25" ht="22" customHeight="1">
      <c r="A25" s="3" t="inlineStr">
        <is>
          <t>n_new</t>
        </is>
      </c>
      <c r="B25" s="3" t="inlineStr">
        <is>
          <t>新截面条数</t>
        </is>
      </c>
      <c r="C25" s="4" t="n">
        <v>7</v>
      </c>
      <c r="D25" s="3" t="inlineStr">
        <is>
          <t>条</t>
        </is>
      </c>
    </row>
    <row r="26" ht="22" customHeight="1">
      <c r="A26" s="3" t="inlineStr">
        <is>
          <t>w_new</t>
        </is>
      </c>
      <c r="B26" s="3" t="inlineStr">
        <is>
          <t>新槽宽</t>
        </is>
      </c>
      <c r="C26" s="4" t="n">
        <v>0.8</v>
      </c>
      <c r="D26" s="3" t="inlineStr">
        <is>
          <t>mm</t>
        </is>
      </c>
    </row>
    <row r="27" ht="22" customHeight="1">
      <c r="A27" s="3" t="inlineStr">
        <is>
          <t>h_new</t>
        </is>
      </c>
      <c r="B27" s="3" t="inlineStr">
        <is>
          <t>新槽深</t>
        </is>
      </c>
      <c r="C27" s="4" t="n">
        <v>2</v>
      </c>
      <c r="D27" s="3" t="inlineStr">
        <is>
          <t>mm</t>
        </is>
      </c>
    </row>
    <row r="28" ht="22" customHeight="1">
      <c r="A28" s="3" t="inlineStr">
        <is>
          <t>Lslot</t>
        </is>
      </c>
      <c r="B28" s="3" t="inlineStr">
        <is>
          <t>槽长</t>
        </is>
      </c>
      <c r="C28" s="4" t="n">
        <v>50</v>
      </c>
      <c r="D28" s="3" t="inlineStr">
        <is>
          <t>mm</t>
        </is>
      </c>
    </row>
    <row r="29" ht="22" customHeight="1">
      <c r="A29" s="3" t="inlineStr">
        <is>
          <t>Pgr</t>
        </is>
      </c>
      <c r="B29" s="3" t="inlineStr">
        <is>
          <t>Grace 功率</t>
        </is>
      </c>
      <c r="C29" s="4" t="n">
        <v>300</v>
      </c>
      <c r="D29" s="3" t="inlineStr">
        <is>
          <t>W</t>
        </is>
      </c>
    </row>
    <row r="30" ht="22" customHeight="1">
      <c r="A30" s="3" t="inlineStr">
        <is>
          <t>dTset</t>
        </is>
      </c>
      <c r="B30" s="3" t="inlineStr">
        <is>
          <t>Grace 设定温升</t>
        </is>
      </c>
      <c r="C30" s="4" t="n">
        <v>8</v>
      </c>
      <c r="D30" s="3" t="inlineStr">
        <is>
          <t>K</t>
        </is>
      </c>
    </row>
    <row r="31" ht="22" customHeight="1">
      <c r="A31" s="3" t="inlineStr">
        <is>
          <t>Qgr</t>
        </is>
      </c>
      <c r="B31" s="3" t="inlineStr">
        <is>
          <t>Grace 设计流量</t>
        </is>
      </c>
      <c r="C31" s="4" t="n">
        <v>0.55</v>
      </c>
      <c r="D31" s="3" t="inlineStr">
        <is>
          <t>L/min</t>
        </is>
      </c>
    </row>
    <row r="32" ht="22" customHeight="1">
      <c r="A32" s="3" t="inlineStr">
        <is>
          <t>Pcpu</t>
        </is>
      </c>
      <c r="B32" s="3" t="inlineStr">
        <is>
          <t>CPU 功率</t>
        </is>
      </c>
      <c r="C32" s="4" t="n">
        <v>260</v>
      </c>
      <c r="D32" s="3" t="inlineStr">
        <is>
          <t>W</t>
        </is>
      </c>
    </row>
    <row r="33" ht="22" customHeight="1">
      <c r="A33" s="3" t="inlineStr">
        <is>
          <t>Pmem</t>
        </is>
      </c>
      <c r="B33" s="3" t="inlineStr">
        <is>
          <t>单侧内存功率</t>
        </is>
      </c>
      <c r="C33" s="4" t="n">
        <v>20</v>
      </c>
      <c r="D33" s="3" t="inlineStr">
        <is>
          <t>W</t>
        </is>
      </c>
    </row>
    <row r="34" ht="22" customHeight="1">
      <c r="A34" s="3" t="inlineStr">
        <is>
          <t>ncpu</t>
        </is>
      </c>
      <c r="B34" s="3" t="inlineStr">
        <is>
          <t>CPU 槽数</t>
        </is>
      </c>
      <c r="C34" s="4" t="n">
        <v>48</v>
      </c>
      <c r="D34" s="3" t="inlineStr">
        <is>
          <t>条</t>
        </is>
      </c>
    </row>
    <row r="35" ht="22" customHeight="1">
      <c r="A35" s="3" t="inlineStr">
        <is>
          <t>wcpu</t>
        </is>
      </c>
      <c r="B35" s="3" t="inlineStr">
        <is>
          <t>CPU 槽宽</t>
        </is>
      </c>
      <c r="C35" s="4" t="n">
        <v>0.4</v>
      </c>
      <c r="D35" s="3" t="inlineStr">
        <is>
          <t>mm</t>
        </is>
      </c>
    </row>
    <row r="36" ht="22" customHeight="1">
      <c r="A36" s="3" t="inlineStr">
        <is>
          <t>hcpu</t>
        </is>
      </c>
      <c r="B36" s="3" t="inlineStr">
        <is>
          <t>CPU 槽深</t>
        </is>
      </c>
      <c r="C36" s="4" t="n">
        <v>1.2</v>
      </c>
      <c r="D36" s="3" t="inlineStr">
        <is>
          <t>mm</t>
        </is>
      </c>
    </row>
    <row r="37" ht="22" customHeight="1">
      <c r="A37" s="3" t="inlineStr">
        <is>
          <t>Lcpu</t>
        </is>
      </c>
      <c r="B37" s="3" t="inlineStr">
        <is>
          <t>CPU 润湿长</t>
        </is>
      </c>
      <c r="C37" s="4" t="n">
        <v>40</v>
      </c>
      <c r="D37" s="3" t="inlineStr">
        <is>
          <t>mm</t>
        </is>
      </c>
    </row>
    <row r="38" ht="22" customHeight="1">
      <c r="A38" s="3" t="inlineStr">
        <is>
          <t>Lhcpu</t>
        </is>
      </c>
      <c r="B38" s="3" t="inlineStr">
        <is>
          <t>CPU 受热长</t>
        </is>
      </c>
      <c r="C38" s="4" t="n">
        <v>32</v>
      </c>
      <c r="D38" s="3" t="inlineStr">
        <is>
          <t>mm</t>
        </is>
      </c>
    </row>
    <row r="39" ht="22" customHeight="1">
      <c r="A39" s="3" t="inlineStr">
        <is>
          <t>nmem</t>
        </is>
      </c>
      <c r="B39" s="3" t="inlineStr">
        <is>
          <t>单侧内存槽数</t>
        </is>
      </c>
      <c r="C39" s="4" t="n">
        <v>6</v>
      </c>
      <c r="D39" s="3" t="inlineStr">
        <is>
          <t>条</t>
        </is>
      </c>
    </row>
    <row r="40" ht="22" customHeight="1">
      <c r="A40" s="3" t="inlineStr">
        <is>
          <t>wmem</t>
        </is>
      </c>
      <c r="B40" s="3" t="inlineStr">
        <is>
          <t>内存槽宽</t>
        </is>
      </c>
      <c r="C40" s="4" t="n">
        <v>1.2</v>
      </c>
      <c r="D40" s="3" t="inlineStr">
        <is>
          <t>mm</t>
        </is>
      </c>
    </row>
    <row r="41" ht="22" customHeight="1">
      <c r="A41" s="3" t="inlineStr">
        <is>
          <t>hmem</t>
        </is>
      </c>
      <c r="B41" s="3" t="inlineStr">
        <is>
          <t>内存槽深</t>
        </is>
      </c>
      <c r="C41" s="4" t="n">
        <v>0.8</v>
      </c>
      <c r="D41" s="3" t="inlineStr">
        <is>
          <t>mm</t>
        </is>
      </c>
    </row>
    <row r="42" ht="22" customHeight="1">
      <c r="A42" s="3" t="inlineStr">
        <is>
          <t>Lmem</t>
        </is>
      </c>
      <c r="B42" s="3" t="inlineStr">
        <is>
          <t>内存润湿长</t>
        </is>
      </c>
      <c r="C42" s="4" t="n">
        <v>78</v>
      </c>
      <c r="D42" s="3" t="inlineStr">
        <is>
          <t>mm</t>
        </is>
      </c>
    </row>
    <row r="43" ht="22" customHeight="1">
      <c r="A43" s="3" t="inlineStr">
        <is>
          <t>Lhmem</t>
        </is>
      </c>
      <c r="B43" s="3" t="inlineStr">
        <is>
          <t>内存受热长</t>
        </is>
      </c>
      <c r="C43" s="4" t="n">
        <v>70</v>
      </c>
      <c r="D43" s="3" t="inlineStr">
        <is>
          <t>mm</t>
        </is>
      </c>
    </row>
    <row r="44" ht="22" customHeight="1">
      <c r="A44" s="3" t="inlineStr">
        <is>
          <t>kturn</t>
        </is>
      </c>
      <c r="B44" s="3" t="inlineStr">
        <is>
          <t>弯头阻力合计</t>
        </is>
      </c>
      <c r="C44" s="4" t="n">
        <v>3</v>
      </c>
      <c r="D44" s="3" t="inlineStr">
        <is>
          <t>-</t>
        </is>
      </c>
    </row>
    <row r="45" ht="22" customHeight="1">
      <c r="A45" s="3" t="inlineStr">
        <is>
          <t>rhoG</t>
        </is>
      </c>
      <c r="B45" s="3" t="inlineStr">
        <is>
          <t>Grace 密度</t>
        </is>
      </c>
      <c r="C45" s="4" t="n">
        <v>992</v>
      </c>
      <c r="D45" s="3" t="inlineStr">
        <is>
          <t>kg/m3</t>
        </is>
      </c>
    </row>
    <row r="46" ht="22" customHeight="1">
      <c r="A46" s="3" t="inlineStr">
        <is>
          <t>kG</t>
        </is>
      </c>
      <c r="B46" s="3" t="inlineStr">
        <is>
          <t>Grace 水导热</t>
        </is>
      </c>
      <c r="C46" s="4" t="n">
        <v>0.632</v>
      </c>
      <c r="D46" s="3" t="inlineStr">
        <is>
          <t>W/mK</t>
        </is>
      </c>
    </row>
  </sheetData>
  <autoFilter ref="A3:D46"/>
  <mergeCells count="1">
    <mergeCell ref="A1:D1"/>
  </mergeCells>
  <pageMargins left="0.5" right="0.5" top="0.7" bottom="0.55" header="0.5" footer="0.5"/>
  <pageSetup orientation="landscape" paperSize="9" fitToHeight="0" fitToWidth="1"/>
  <headerFooter>
    <oddHeader>&amp;L输入</oddHeader>
    <oddFooter>&amp;C冷板总体设计  ·  2026-09-29&amp;R第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2" customWidth="1" min="4" max="4"/>
    <col width="28" customWidth="1" min="5" max="5"/>
  </cols>
  <sheetData>
    <row r="1" ht="26" customHeight="1">
      <c r="A1" s="1" t="inlineStr">
        <is>
          <t>GPU 能量、射流与热阻</t>
        </is>
      </c>
    </row>
    <row r="3" ht="22" customHeight="1">
      <c r="A3" s="2" t="inlineStr">
        <is>
          <t>量</t>
        </is>
      </c>
      <c r="B3" s="2" t="inlineStr">
        <is>
          <t>公式</t>
        </is>
      </c>
      <c r="C3" s="2" t="inlineStr">
        <is>
          <t>数值</t>
        </is>
      </c>
      <c r="D3" s="2" t="inlineStr">
        <is>
          <t>单位</t>
        </is>
      </c>
      <c r="E3" s="2" t="inlineStr">
        <is>
          <t>说明</t>
        </is>
      </c>
    </row>
    <row r="4" ht="22" customHeight="1">
      <c r="A4" s="3" t="inlineStr">
        <is>
          <t>质量流量</t>
        </is>
      </c>
      <c r="B4" s="3" t="inlineStr">
        <is>
          <t>rho*Qa/60000</t>
        </is>
      </c>
      <c r="C4" s="5">
        <f>rho*Qa/60000</f>
        <v/>
      </c>
      <c r="D4" s="3" t="inlineStr">
        <is>
          <t>kg/s</t>
        </is>
      </c>
      <c r="E4" s="3" t="inlineStr">
        <is>
          <t>DP-A</t>
        </is>
      </c>
    </row>
    <row r="5" ht="22" customHeight="1">
      <c r="A5" s="3" t="inlineStr">
        <is>
          <t>流体温升</t>
        </is>
      </c>
      <c r="B5" s="3" t="inlineStr">
        <is>
          <t>Pa/(mdot*cp)</t>
        </is>
      </c>
      <c r="C5" s="6">
        <f>Pa/(C4*cp)</f>
        <v/>
      </c>
      <c r="D5" s="3" t="inlineStr">
        <is>
          <t>K</t>
        </is>
      </c>
      <c r="E5" s="3" t="inlineStr"/>
    </row>
    <row r="6" ht="22" customHeight="1">
      <c r="A6" s="3" t="inlineStr">
        <is>
          <t>单孔面积</t>
        </is>
      </c>
      <c r="B6" s="3" t="inlineStr">
        <is>
          <t>pi*D^2/4</t>
        </is>
      </c>
      <c r="C6" s="7">
        <f>PI()*((Dmm/1000)^2)/4</f>
        <v/>
      </c>
      <c r="D6" s="3" t="inlineStr">
        <is>
          <t>m2</t>
        </is>
      </c>
      <c r="E6" s="3" t="inlineStr">
        <is>
          <t>D 用 mm</t>
        </is>
      </c>
    </row>
    <row r="7" ht="22" customHeight="1">
      <c r="A7" s="3" t="inlineStr">
        <is>
          <t>孔速</t>
        </is>
      </c>
      <c r="B7" s="3" t="inlineStr">
        <is>
          <t>Qgpu/N/A</t>
        </is>
      </c>
      <c r="C7" s="8">
        <f>(Qgpu/60000)/(Njet*C6)</f>
        <v/>
      </c>
      <c r="D7" s="3" t="inlineStr">
        <is>
          <t>m/s</t>
        </is>
      </c>
      <c r="E7" s="3" t="inlineStr"/>
    </row>
    <row r="8" ht="22" customHeight="1">
      <c r="A8" s="3" t="inlineStr">
        <is>
          <t>Re</t>
        </is>
      </c>
      <c r="B8" s="3" t="inlineStr">
        <is>
          <t>rho*V*D/mu</t>
        </is>
      </c>
      <c r="C8" s="9">
        <f>rho*C7*(Dmm/1000)/mu</f>
        <v/>
      </c>
      <c r="D8" s="3" t="inlineStr">
        <is>
          <t>-</t>
        </is>
      </c>
      <c r="E8" s="3" t="inlineStr"/>
    </row>
    <row r="9" ht="22" customHeight="1">
      <c r="A9" s="3" t="inlineStr">
        <is>
          <t>孔口压降</t>
        </is>
      </c>
      <c r="B9" s="3" t="inlineStr">
        <is>
          <t>K*rho*V^2/2</t>
        </is>
      </c>
      <c r="C9" s="9">
        <f>Kjet*rho*C7*C7/2</f>
        <v/>
      </c>
      <c r="D9" s="3" t="inlineStr">
        <is>
          <t>Pa</t>
        </is>
      </c>
      <c r="E9" s="3" t="inlineStr">
        <is>
          <t>K=1.8</t>
        </is>
      </c>
    </row>
    <row r="10" ht="22" customHeight="1">
      <c r="A10" s="3" t="inlineStr">
        <is>
          <t>余铜热阻</t>
        </is>
      </c>
      <c r="B10" s="3" t="inlineStr">
        <is>
          <t>t/(k*A)</t>
        </is>
      </c>
      <c r="C10" s="5">
        <f>(tcu/1000)/(kcu*(Adie/1000000))</f>
        <v/>
      </c>
      <c r="D10" s="3" t="inlineStr">
        <is>
          <t>°C/W</t>
        </is>
      </c>
      <c r="E10" s="3" t="inlineStr">
        <is>
          <t>A 为两 die</t>
        </is>
      </c>
    </row>
    <row r="11" ht="22" customHeight="1">
      <c r="A11" s="3" t="inlineStr">
        <is>
          <t>壳–进液下界</t>
        </is>
      </c>
      <c r="B11" s="3" t="inlineStr">
        <is>
          <t>Rcu+Rtim_lo+Rconv</t>
        </is>
      </c>
      <c r="C11" s="10">
        <f>C10+Rtim_lo+Rconv</f>
        <v/>
      </c>
      <c r="D11" s="3" t="inlineStr">
        <is>
          <t>°C/W</t>
        </is>
      </c>
      <c r="E11" s="3" t="inlineStr"/>
    </row>
    <row r="12" ht="22" customHeight="1">
      <c r="A12" s="3" t="inlineStr">
        <is>
          <t>壳–进液上界</t>
        </is>
      </c>
      <c r="B12" s="3" t="inlineStr">
        <is>
          <t>Rcu+Rtim_hi+Rconv</t>
        </is>
      </c>
      <c r="C12" s="10">
        <f>C10+Rtim_hi+Rconv</f>
        <v/>
      </c>
      <c r="D12" s="3" t="inlineStr">
        <is>
          <t>°C/W</t>
        </is>
      </c>
      <c r="E12" s="3" t="inlineStr"/>
    </row>
    <row r="13" ht="22" customHeight="1">
      <c r="A13" s="3" t="inlineStr">
        <is>
          <t>上界是否进目标</t>
        </is>
      </c>
      <c r="B13" s="3" t="inlineStr">
        <is>
          <t>上界&lt;目标</t>
        </is>
      </c>
      <c r="C13" s="11">
        <f>IF(C12&lt;Rtarget,"通过","不判定")</f>
        <v/>
      </c>
      <c r="D13" s="3" t="inlineStr">
        <is>
          <t>-</t>
        </is>
      </c>
      <c r="E13" s="3" t="inlineStr">
        <is>
          <t>不进则 DR2 仍是有条件</t>
        </is>
      </c>
    </row>
  </sheetData>
  <autoFilter ref="A3:E13"/>
  <mergeCells count="1">
    <mergeCell ref="A1:E1"/>
  </mergeCells>
  <conditionalFormatting sqref="C13">
    <cfRule type="expression" priority="1" dxfId="0">
      <formula>C13="通过"</formula>
    </cfRule>
    <cfRule type="expression" priority="2" dxfId="1">
      <formula>C13="不判定"</formula>
    </cfRule>
  </conditionalFormatting>
  <pageMargins left="0.5" right="0.5" top="0.7" bottom="0.55" header="0.5" footer="0.5"/>
  <pageSetup orientation="landscape" paperSize="9" fitToHeight="0" fitToWidth="1"/>
  <headerFooter>
    <oddHeader>&amp;LGPU 能量、射流与热阻</oddHeader>
    <oddFooter>&amp;C冷板总体设计  ·  2026-09-29&amp;R第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26" customHeight="1">
      <c r="A1" s="1" t="inlineStr">
        <is>
          <t>HBM 两套截面的槽速</t>
        </is>
      </c>
    </row>
    <row r="3" ht="22" customHeight="1">
      <c r="A3" s="2" t="inlineStr">
        <is>
          <t>方案</t>
        </is>
      </c>
      <c r="B3" s="2" t="inlineStr">
        <is>
          <t>流量 L/min</t>
        </is>
      </c>
      <c r="C3" s="2" t="inlineStr">
        <is>
          <t>条数</t>
        </is>
      </c>
      <c r="D3" s="2" t="inlineStr">
        <is>
          <t>宽 mm</t>
        </is>
      </c>
      <c r="E3" s="2" t="inlineStr">
        <is>
          <t>深 mm</t>
        </is>
      </c>
      <c r="F3" s="2" t="inlineStr">
        <is>
          <t>速度 m/s</t>
        </is>
      </c>
      <c r="G3" s="2" t="inlineStr">
        <is>
          <t>Re</t>
        </is>
      </c>
      <c r="H3" s="2" t="inlineStr">
        <is>
          <t>摩擦压降 Pa</t>
        </is>
      </c>
    </row>
    <row r="4" ht="22" customHeight="1">
      <c r="A4" s="3" t="inlineStr">
        <is>
          <t>v2.0 十六槽</t>
        </is>
      </c>
      <c r="B4" s="6">
        <f>Qg_hbm</f>
        <v/>
      </c>
      <c r="C4" s="6">
        <f>n_old</f>
        <v/>
      </c>
      <c r="D4" s="6">
        <f>w_old</f>
        <v/>
      </c>
      <c r="E4" s="6">
        <f>h_old</f>
        <v/>
      </c>
      <c r="F4" s="8">
        <f>(B4/60000)/(C4*(D4/1000)*(E4/1000))</f>
        <v/>
      </c>
      <c r="G4" s="8">
        <f>rho*F4*(2*(D4/1000)*(E4/1000)/((D4+E4)/1000))/mu</f>
        <v/>
      </c>
      <c r="H4" s="8">
        <f>(64/G4)*((Lslot/1000)/(2*(D4/1000)*(E4/1000)/((D4+E4)/1000)))*rho*F4*F4/2</f>
        <v/>
      </c>
    </row>
    <row r="5" ht="22" customHeight="1">
      <c r="A5" s="3" t="inlineStr">
        <is>
          <t>w08h20 七槽单侧</t>
        </is>
      </c>
      <c r="B5" s="6">
        <f>q_side</f>
        <v/>
      </c>
      <c r="C5" s="6">
        <f>n_new</f>
        <v/>
      </c>
      <c r="D5" s="6">
        <f>w_new</f>
        <v/>
      </c>
      <c r="E5" s="6">
        <f>h_new</f>
        <v/>
      </c>
      <c r="F5" s="8">
        <f>(B5/60000)/(C5*(D5/1000)*(E5/1000))</f>
        <v/>
      </c>
      <c r="G5" s="8">
        <f>rho*F5*(2*(D5/1000)*(E5/1000)/((D5+E5)/1000))/mu</f>
        <v/>
      </c>
      <c r="H5" s="8">
        <f>(64/G5)*((Lslot/1000)/(2*(D5/1000)*(E5/1000)/((D5+E5)/1000)))*rho*F5*F5/2</f>
        <v/>
      </c>
    </row>
  </sheetData>
  <autoFilter ref="A3:H5"/>
  <mergeCells count="1">
    <mergeCell ref="A1:H1"/>
  </mergeCells>
  <pageMargins left="0.5" right="0.5" top="0.7" bottom="0.55" header="0.5" footer="0.5"/>
  <pageSetup orientation="landscape" paperSize="9" fitToHeight="0" fitToWidth="1"/>
  <headerFooter>
    <oddHeader>&amp;LHBM 两套截面的槽速</oddHeader>
    <oddFooter>&amp;C冷板总体设计  ·  2026-09-29&amp;R第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Grace 设计流量下的通道</t>
        </is>
      </c>
    </row>
    <row r="3" ht="22" customHeight="1">
      <c r="A3" s="2" t="inlineStr">
        <is>
          <t>路</t>
        </is>
      </c>
      <c r="B3" s="2" t="inlineStr">
        <is>
          <t>流量 L/min</t>
        </is>
      </c>
      <c r="C3" s="2" t="inlineStr">
        <is>
          <t>速度 m/s</t>
        </is>
      </c>
      <c r="D3" s="2" t="inlineStr">
        <is>
          <t>Re</t>
        </is>
      </c>
      <c r="E3" s="2" t="inlineStr">
        <is>
          <t>压降 kPa</t>
        </is>
      </c>
      <c r="F3" s="2" t="inlineStr">
        <is>
          <t>热阻 °C/W</t>
        </is>
      </c>
      <c r="G3" s="2" t="inlineStr">
        <is>
          <t>对流温升 K</t>
        </is>
      </c>
    </row>
    <row r="4" ht="22" customHeight="1">
      <c r="A4" s="3" t="inlineStr">
        <is>
          <t>CPU</t>
        </is>
      </c>
      <c r="B4" s="8">
        <f>Qgr*Pcpu/Pgr</f>
        <v/>
      </c>
      <c r="C4" s="8">
        <f>(B4/60000)/(ncpu*(wcpu/1000)*(hcpu/1000))</f>
        <v/>
      </c>
      <c r="D4" s="8">
        <f>rhoG*C4*(2*(wcpu/1000)*(hcpu/1000)/((wcpu+hcpu)/1000))/mu</f>
        <v/>
      </c>
      <c r="E4" s="8">
        <f>((64/D4)*((Lcpu/1000)/(2*(wcpu/1000)*(hcpu/1000)/((wcpu+hcpu)/1000)))+kturn)*rhoG*C4*C4/2/1000</f>
        <v/>
      </c>
      <c r="F4" s="8">
        <f>1/((4.8*kG/(2*(wcpu/1000)*(hcpu/1000)/((wcpu+hcpu)/1000)))*(ncpu*(Lhcpu/1000)*((wcpu/1000)+2*(hcpu/1000))))</f>
        <v/>
      </c>
      <c r="G4" s="8">
        <f>Pcpu*F4</f>
        <v/>
      </c>
    </row>
    <row r="5" ht="22" customHeight="1">
      <c r="A5" s="3" t="inlineStr">
        <is>
          <t>单侧内存</t>
        </is>
      </c>
      <c r="B5" s="8">
        <f>Qgr*Pmem/Pgr</f>
        <v/>
      </c>
      <c r="C5" s="8">
        <f>(B5/60000)/(nmem*(wmem/1000)*(hmem/1000))</f>
        <v/>
      </c>
      <c r="D5" s="8">
        <f>rhoG*C5*(2*(wmem/1000)*(hmem/1000)/((wmem+hmem)/1000))/mu</f>
        <v/>
      </c>
      <c r="E5" s="8">
        <f>((64/D5)*((Lmem/1000)/(2*(wmem/1000)*(hmem/1000)/((wmem+hmem)/1000)))+kturn)*rhoG*C5*C5/2/1000</f>
        <v/>
      </c>
      <c r="F5" s="8">
        <f>1/((4.8*kG/(2*(wmem/1000)*(hmem/1000)/((wmem+hmem)/1000)))*(nmem*(Lhmem/1000)*((wmem/1000)+2*(hmem/1000))))</f>
        <v/>
      </c>
      <c r="G5" s="8">
        <f>Pmem*F5</f>
        <v/>
      </c>
    </row>
    <row r="6" ht="22" customHeight="1">
      <c r="A6" s="3" t="inlineStr">
        <is>
          <t>能量平衡流量</t>
        </is>
      </c>
      <c r="B6" s="8">
        <f>Pgr/(rhoG*cp*dTset)*60000</f>
        <v/>
      </c>
      <c r="C6" s="3" t="inlineStr">
        <is>
          <t>说明：报告表 0.34 m/s、0.96 kPa 接近这一流量下的 CPU，不是 0.55 这一行</t>
        </is>
      </c>
      <c r="D6" s="12" t="n"/>
      <c r="E6" s="12" t="n"/>
      <c r="F6" s="12" t="n"/>
      <c r="G6" s="13" t="n"/>
    </row>
  </sheetData>
  <autoFilter ref="A3:G6"/>
  <mergeCells count="2">
    <mergeCell ref="C6:G6"/>
    <mergeCell ref="A1:G1"/>
  </mergeCells>
  <pageMargins left="0.5" right="0.5" top="0.7" bottom="0.55" header="0.5" footer="0.5"/>
  <pageSetup orientation="landscape" paperSize="9" fitToHeight="0" fitToWidth="1"/>
  <headerFooter>
    <oddHeader>&amp;LGrace 设计流量下的通道</oddHeader>
    <oddFooter>&amp;C冷板总体设计  ·  2026-09-29&amp;R第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孔径扫描（孔数与 GPU 流量不变）</t>
        </is>
      </c>
    </row>
    <row r="3" ht="22" customHeight="1">
      <c r="A3" s="2" t="inlineStr">
        <is>
          <t>D mm</t>
        </is>
      </c>
      <c r="B3" s="2" t="inlineStr">
        <is>
          <t>孔速 m/s</t>
        </is>
      </c>
      <c r="C3" s="2" t="inlineStr">
        <is>
          <t>Re</t>
        </is>
      </c>
      <c r="D3" s="2" t="inlineStr">
        <is>
          <t>压降 kPa</t>
        </is>
      </c>
      <c r="E3" s="2" t="inlineStr">
        <is>
          <t>Sx/D</t>
        </is>
      </c>
      <c r="F3" s="2" t="inlineStr">
        <is>
          <t>Sy/D</t>
        </is>
      </c>
      <c r="G3" s="2" t="inlineStr">
        <is>
          <t>H/D</t>
        </is>
      </c>
    </row>
    <row r="4" ht="22" customHeight="1">
      <c r="A4" s="14" t="n">
        <v>0.5</v>
      </c>
      <c r="B4" s="8">
        <f>(Qgpu/60000)/(Njet*PI()*((A4/1000)^2)/4)</f>
        <v/>
      </c>
      <c r="C4" s="8">
        <f>rho*B4*(A4/1000)/mu</f>
        <v/>
      </c>
      <c r="D4" s="8">
        <f>Kjet*rho*B4*B4/2/1000</f>
        <v/>
      </c>
      <c r="E4" s="8">
        <f>3/A4</f>
        <v/>
      </c>
      <c r="F4" s="8">
        <f>2.4/A4</f>
        <v/>
      </c>
      <c r="G4" s="8">
        <f>2/A4</f>
        <v/>
      </c>
    </row>
    <row r="5" ht="22" customHeight="1">
      <c r="A5" s="14" t="n">
        <v>0.45</v>
      </c>
      <c r="B5" s="8">
        <f>(Qgpu/60000)/(Njet*PI()*((A5/1000)^2)/4)</f>
        <v/>
      </c>
      <c r="C5" s="8">
        <f>rho*B5*(A5/1000)/mu</f>
        <v/>
      </c>
      <c r="D5" s="8">
        <f>Kjet*rho*B5*B5/2/1000</f>
        <v/>
      </c>
      <c r="E5" s="8">
        <f>3/A5</f>
        <v/>
      </c>
      <c r="F5" s="8">
        <f>2.4/A5</f>
        <v/>
      </c>
      <c r="G5" s="8">
        <f>2/A5</f>
        <v/>
      </c>
    </row>
    <row r="6" ht="22" customHeight="1">
      <c r="A6" s="14" t="n">
        <v>0.4</v>
      </c>
      <c r="B6" s="8">
        <f>(Qgpu/60000)/(Njet*PI()*((A6/1000)^2)/4)</f>
        <v/>
      </c>
      <c r="C6" s="8">
        <f>rho*B6*(A6/1000)/mu</f>
        <v/>
      </c>
      <c r="D6" s="8">
        <f>Kjet*rho*B6*B6/2/1000</f>
        <v/>
      </c>
      <c r="E6" s="8">
        <f>3/A6</f>
        <v/>
      </c>
      <c r="F6" s="8">
        <f>2.4/A6</f>
        <v/>
      </c>
      <c r="G6" s="8">
        <f>2/A6</f>
        <v/>
      </c>
    </row>
    <row r="7" ht="22" customHeight="1">
      <c r="A7" s="14" t="n">
        <v>0.35</v>
      </c>
      <c r="B7" s="8">
        <f>(Qgpu/60000)/(Njet*PI()*((A7/1000)^2)/4)</f>
        <v/>
      </c>
      <c r="C7" s="8">
        <f>rho*B7*(A7/1000)/mu</f>
        <v/>
      </c>
      <c r="D7" s="8">
        <f>Kjet*rho*B7*B7/2/1000</f>
        <v/>
      </c>
      <c r="E7" s="8">
        <f>3/A7</f>
        <v/>
      </c>
      <c r="F7" s="8">
        <f>2.4/A7</f>
        <v/>
      </c>
      <c r="G7" s="8">
        <f>2/A7</f>
        <v/>
      </c>
    </row>
    <row r="8" ht="22" customHeight="1">
      <c r="A8" s="14" t="n">
        <v>0.3</v>
      </c>
      <c r="B8" s="8">
        <f>(Qgpu/60000)/(Njet*PI()*((A8/1000)^2)/4)</f>
        <v/>
      </c>
      <c r="C8" s="8">
        <f>rho*B8*(A8/1000)/mu</f>
        <v/>
      </c>
      <c r="D8" s="8">
        <f>Kjet*rho*B8*B8/2/1000</f>
        <v/>
      </c>
      <c r="E8" s="8">
        <f>3/A8</f>
        <v/>
      </c>
      <c r="F8" s="8">
        <f>2.4/A8</f>
        <v/>
      </c>
      <c r="G8" s="8">
        <f>2/A8</f>
        <v/>
      </c>
    </row>
  </sheetData>
  <autoFilter ref="A3:G8"/>
  <mergeCells count="1">
    <mergeCell ref="A1:G1"/>
  </mergeCells>
  <pageMargins left="0.5" right="0.5" top="0.7" bottom="0.55" header="0.5" footer="0.5"/>
  <pageSetup orientation="landscape" paperSize="9" fitToHeight="0" fitToWidth="1"/>
  <headerFooter>
    <oddHeader>&amp;L孔径扫描（孔数与 GPU 流量不变）</oddHeader>
    <oddFooter>&amp;C冷板总体设计  ·  2026-09-29&amp;R第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2026-09-29T00:19:45Z</dcterms:created>
  <dcterms:modified xmlns:dcterms="http://purl.org/dc/terms/" xmlns:xsi="http://www.w3.org/2001/XMLSchema-instance" xsi:type="dcterms:W3CDTF">2026-09-29T00:19:45Z</dcterms:modified>
</cp:coreProperties>
</file>