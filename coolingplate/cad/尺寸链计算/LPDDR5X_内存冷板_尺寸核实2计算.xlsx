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" sheetId="1" state="visible" r:id="rId1"/>
    <sheet xmlns:r="http://schemas.openxmlformats.org/officeDocument/2006/relationships" name="尺寸链" sheetId="2" state="visible" r:id="rId2"/>
    <sheet xmlns:r="http://schemas.openxmlformats.org/officeDocument/2006/relationships" name="核实2" sheetId="3" state="visible" r:id="rId3"/>
    <sheet xmlns:r="http://schemas.openxmlformats.org/officeDocument/2006/relationships" name="不采用与说明" sheetId="4" state="visible" r:id="rId4"/>
  </sheets>
  <definedNames>
    <definedName name="_xlnm._FilterDatabase" localSheetId="0" hidden="1">'输入'!$A$1:$E$23</definedName>
    <definedName name="_xlnm._FilterDatabase" localSheetId="1" hidden="1">'尺寸链'!$A$1:$G$1</definedName>
    <definedName name="_xlnm._FilterDatabase" localSheetId="2" hidden="1">'核实2'!$A$1:$G$1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B2748"/>
      </patternFill>
    </fill>
    <fill>
      <patternFill patternType="solid">
        <fgColor rgb="00EEF5FF"/>
      </patternFill>
    </fill>
  </fills>
  <borders count="2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2" customWidth="1" min="4" max="4"/>
    <col width="55" customWidth="1" min="5" max="5"/>
  </cols>
  <sheetData>
    <row r="1" ht="22" customHeight="1">
      <c r="A1" s="1" t="inlineStr">
        <is>
          <t>代号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来源</t>
        </is>
      </c>
      <c r="E1" s="1" t="inlineStr">
        <is>
          <t>备注</t>
        </is>
      </c>
    </row>
    <row r="2">
      <c r="A2" s="2" t="inlineStr">
        <is>
          <t>节距</t>
        </is>
      </c>
      <c r="B2" s="3" t="n">
        <v>8</v>
      </c>
      <c r="C2" s="4" t="inlineStr">
        <is>
          <t>mm</t>
        </is>
      </c>
      <c r="D2" s="4" t="inlineStr">
        <is>
          <t>§4.2 约 8 mm</t>
        </is>
      </c>
      <c r="E2" s="4" t="inlineStr">
        <is>
          <t>核实取值，可改</t>
        </is>
      </c>
    </row>
    <row r="3">
      <c r="A3" s="2" t="inlineStr">
        <is>
          <t>槽宽</t>
        </is>
      </c>
      <c r="B3" s="3" t="n">
        <v>1.2</v>
      </c>
      <c r="C3" s="4" t="inlineStr">
        <is>
          <t>mm</t>
        </is>
      </c>
      <c r="D3" s="4" t="inlineStr">
        <is>
          <t>§4.2</t>
        </is>
      </c>
      <c r="E3" s="4" t="inlineStr"/>
    </row>
    <row r="4">
      <c r="A4" s="2" t="inlineStr">
        <is>
          <t>槽深</t>
        </is>
      </c>
      <c r="B4" s="3" t="n">
        <v>0.8</v>
      </c>
      <c r="C4" s="4" t="inlineStr">
        <is>
          <t>mm</t>
        </is>
      </c>
      <c r="D4" s="4" t="inlineStr">
        <is>
          <t>§4.2</t>
        </is>
      </c>
      <c r="E4" s="4" t="inlineStr"/>
    </row>
    <row r="5">
      <c r="A5" s="2" t="inlineStr">
        <is>
          <t>条数</t>
        </is>
      </c>
      <c r="B5" s="3" t="n">
        <v>6</v>
      </c>
      <c r="C5" s="4" t="inlineStr">
        <is>
          <t>条</t>
        </is>
      </c>
      <c r="D5" s="4" t="inlineStr">
        <is>
          <t>§4.2</t>
        </is>
      </c>
      <c r="E5" s="4" t="inlineStr">
        <is>
          <t>每侧</t>
        </is>
      </c>
    </row>
    <row r="6">
      <c r="A6" s="2" t="inlineStr">
        <is>
          <t>窗宽</t>
        </is>
      </c>
      <c r="B6" s="3" t="n">
        <v>50</v>
      </c>
      <c r="C6" s="4" t="inlineStr">
        <is>
          <t>mm</t>
        </is>
      </c>
      <c r="D6" s="4" t="inlineStr">
        <is>
          <t>§4.1</t>
        </is>
      </c>
      <c r="E6" s="4" t="inlineStr">
        <is>
          <t>50</t>
        </is>
      </c>
    </row>
    <row r="7">
      <c r="A7" s="2" t="inlineStr">
        <is>
          <t>受热长</t>
        </is>
      </c>
      <c r="B7" s="3" t="n">
        <v>70</v>
      </c>
      <c r="C7" s="4" t="inlineStr">
        <is>
          <t>mm</t>
        </is>
      </c>
      <c r="D7" s="4" t="inlineStr">
        <is>
          <t>§4.2</t>
        </is>
      </c>
      <c r="E7" s="4" t="inlineStr">
        <is>
          <t>70</t>
        </is>
      </c>
    </row>
    <row r="8">
      <c r="A8" s="2" t="inlineStr">
        <is>
          <t>墙</t>
        </is>
      </c>
      <c r="B8" s="3" t="n">
        <v>0.8</v>
      </c>
      <c r="C8" s="4" t="inlineStr">
        <is>
          <t>mm</t>
        </is>
      </c>
      <c r="D8" s="4" t="inlineStr">
        <is>
          <t>§4.3</t>
        </is>
      </c>
      <c r="E8" s="4" t="inlineStr"/>
    </row>
    <row r="9">
      <c r="A9" s="2" t="inlineStr">
        <is>
          <t>口长</t>
        </is>
      </c>
      <c r="B9" s="3" t="n">
        <v>1.6</v>
      </c>
      <c r="C9" s="4" t="inlineStr">
        <is>
          <t>mm</t>
        </is>
      </c>
      <c r="D9" s="4" t="inlineStr">
        <is>
          <t>§4.2</t>
        </is>
      </c>
      <c r="E9" s="4" t="inlineStr"/>
    </row>
    <row r="10">
      <c r="A10" s="2" t="inlineStr">
        <is>
          <t>间隔</t>
        </is>
      </c>
      <c r="B10" s="3" t="n">
        <v>1.2</v>
      </c>
      <c r="C10" s="4" t="inlineStr">
        <is>
          <t>mm</t>
        </is>
      </c>
      <c r="D10" s="4" t="inlineStr">
        <is>
          <t>§4.3</t>
        </is>
      </c>
      <c r="E10" s="4" t="inlineStr"/>
    </row>
    <row r="11">
      <c r="A11" s="2" t="inlineStr">
        <is>
          <t>通道层</t>
        </is>
      </c>
      <c r="B11" s="3" t="n">
        <v>1.2</v>
      </c>
      <c r="C11" s="4" t="inlineStr">
        <is>
          <t>mm</t>
        </is>
      </c>
      <c r="D11" s="4" t="inlineStr">
        <is>
          <t>§4.1</t>
        </is>
      </c>
      <c r="E11" s="4" t="inlineStr">
        <is>
          <t>1.2</t>
        </is>
      </c>
    </row>
    <row r="12">
      <c r="A12" s="2" t="inlineStr">
        <is>
          <t>板高</t>
        </is>
      </c>
      <c r="B12" s="3" t="n">
        <v>120</v>
      </c>
      <c r="C12" s="4" t="inlineStr">
        <is>
          <t>mm</t>
        </is>
      </c>
      <c r="D12" s="4" t="inlineStr">
        <is>
          <t>§4.1</t>
        </is>
      </c>
      <c r="E12" s="4" t="inlineStr"/>
    </row>
    <row r="13">
      <c r="A13" s="2" t="inlineStr">
        <is>
          <t>前端墙</t>
        </is>
      </c>
      <c r="B13" s="3" t="n">
        <v>19</v>
      </c>
      <c r="C13" s="4" t="inlineStr">
        <is>
          <t>mm</t>
        </is>
      </c>
      <c r="D13" s="4" t="inlineStr">
        <is>
          <t>§4.3</t>
        </is>
      </c>
      <c r="E13" s="4" t="inlineStr">
        <is>
          <t>19</t>
        </is>
      </c>
    </row>
    <row r="14">
      <c r="A14" s="2" t="inlineStr">
        <is>
          <t>下密封</t>
        </is>
      </c>
      <c r="B14" s="3" t="n">
        <v>6</v>
      </c>
      <c r="C14" s="4" t="inlineStr">
        <is>
          <t>mm</t>
        </is>
      </c>
      <c r="D14" s="4" t="inlineStr">
        <is>
          <t>§4.1</t>
        </is>
      </c>
      <c r="E14" s="4" t="inlineStr"/>
    </row>
    <row r="15">
      <c r="A15" s="2" t="inlineStr">
        <is>
          <t>密封到前廊</t>
        </is>
      </c>
      <c r="B15" s="3" t="n">
        <v>2</v>
      </c>
      <c r="C15" s="4" t="inlineStr">
        <is>
          <t>mm</t>
        </is>
      </c>
      <c r="D15" s="4" t="inlineStr">
        <is>
          <t>Y 6 到 8</t>
        </is>
      </c>
      <c r="E15" s="4" t="inlineStr"/>
    </row>
    <row r="16">
      <c r="A16" s="2" t="inlineStr">
        <is>
          <t>前廊高</t>
        </is>
      </c>
      <c r="B16" s="3" t="n">
        <v>8</v>
      </c>
      <c r="C16" s="4" t="inlineStr">
        <is>
          <t>mm</t>
        </is>
      </c>
      <c r="D16" s="4" t="inlineStr">
        <is>
          <t>§4.4</t>
        </is>
      </c>
      <c r="E16" s="4" t="inlineStr">
        <is>
          <t>8</t>
        </is>
      </c>
    </row>
    <row r="17">
      <c r="A17" s="2" t="inlineStr">
        <is>
          <t>前廊到端墙</t>
        </is>
      </c>
      <c r="B17" s="3" t="n">
        <v>3</v>
      </c>
      <c r="C17" s="4" t="inlineStr">
        <is>
          <t>mm</t>
        </is>
      </c>
      <c r="D17" s="4" t="inlineStr">
        <is>
          <t>Y 16 到 19</t>
        </is>
      </c>
      <c r="E17" s="4" t="inlineStr"/>
    </row>
    <row r="18">
      <c r="A18" s="2" t="inlineStr">
        <is>
          <t>端墙到后廊</t>
        </is>
      </c>
      <c r="B18" s="3" t="n">
        <v>2</v>
      </c>
      <c r="C18" s="4" t="inlineStr">
        <is>
          <t>mm</t>
        </is>
      </c>
      <c r="D18" s="4" t="inlineStr">
        <is>
          <t>Y 101 到 103</t>
        </is>
      </c>
      <c r="E18" s="4" t="inlineStr"/>
    </row>
    <row r="19">
      <c r="A19" s="2" t="inlineStr">
        <is>
          <t>后廊高</t>
        </is>
      </c>
      <c r="B19" s="3" t="n">
        <v>9</v>
      </c>
      <c r="C19" s="4" t="inlineStr">
        <is>
          <t>mm</t>
        </is>
      </c>
      <c r="D19" s="4" t="inlineStr">
        <is>
          <t>§4.4</t>
        </is>
      </c>
      <c r="E19" s="4" t="inlineStr">
        <is>
          <t>9</t>
        </is>
      </c>
    </row>
    <row r="20">
      <c r="A20" s="2" t="inlineStr">
        <is>
          <t>后廊到腔顶</t>
        </is>
      </c>
      <c r="B20" s="3" t="n">
        <v>2</v>
      </c>
      <c r="C20" s="4" t="inlineStr">
        <is>
          <t>mm</t>
        </is>
      </c>
      <c r="D20" s="4" t="inlineStr">
        <is>
          <t>Y 112 到 114</t>
        </is>
      </c>
      <c r="E20" s="4" t="inlineStr"/>
    </row>
    <row r="21">
      <c r="A21" s="2" t="inlineStr">
        <is>
          <t>缝宽</t>
        </is>
      </c>
      <c r="B21" s="3" t="n">
        <v>0.8</v>
      </c>
      <c r="C21" s="4" t="inlineStr">
        <is>
          <t>mm</t>
        </is>
      </c>
      <c r="D21" s="4" t="inlineStr">
        <is>
          <t>§4.4</t>
        </is>
      </c>
      <c r="E21" s="4" t="inlineStr">
        <is>
          <t>坐标未给</t>
        </is>
      </c>
    </row>
    <row r="22">
      <c r="A22" s="2" t="inlineStr">
        <is>
          <t>缝深</t>
        </is>
      </c>
      <c r="B22" s="3" t="n">
        <v>1.2</v>
      </c>
      <c r="C22" s="4" t="inlineStr">
        <is>
          <t>mm</t>
        </is>
      </c>
      <c r="D22" s="4" t="inlineStr">
        <is>
          <t>§4.4</t>
        </is>
      </c>
      <c r="E22" s="4" t="inlineStr"/>
    </row>
    <row r="23">
      <c r="A23" s="2" t="inlineStr">
        <is>
          <t>缝长</t>
        </is>
      </c>
      <c r="B23" s="3" t="n">
        <v>12</v>
      </c>
      <c r="C23" s="4" t="inlineStr">
        <is>
          <t>mm</t>
        </is>
      </c>
      <c r="D23" s="4" t="inlineStr">
        <is>
          <t>§4.4</t>
        </is>
      </c>
      <c r="E23" s="4" t="inlineStr"/>
    </row>
  </sheetData>
  <autoFilter ref="A1:E23"/>
  <pageMargins left="0.75" right="0.75" top="1" bottom="1" header="0.5" footer="0.5"/>
  <pageSetup orientation="landscape" fitToHeight="0" fitToWidth="1"/>
  <headerFooter>
    <oddHeader>&amp;L输入</oddHeader>
    <oddFooter>&amp;R尺寸核实2 · 公式重算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  <col width="14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1" t="inlineStr">
        <is>
          <t>链</t>
        </is>
      </c>
      <c r="B1" s="1" t="inlineStr">
        <is>
          <t>算式（公式）</t>
        </is>
      </c>
      <c r="C1" s="1" t="inlineStr">
        <is>
          <t>结果</t>
        </is>
      </c>
      <c r="D1" s="1" t="inlineStr">
        <is>
          <t>期望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 ht="32" customHeight="1">
      <c r="A2" s="4" t="inlineStr">
        <is>
          <t>槽场外宽</t>
        </is>
      </c>
      <c r="B2" s="5" t="inlineStr">
        <is>
          <t>(条数-1)×节距+槽宽</t>
        </is>
      </c>
      <c r="C2" s="6">
        <f>(输入!B5-1)*输入!B2+输入!B3</f>
        <v/>
      </c>
      <c r="D2" s="6" t="n">
        <v>41.2</v>
      </c>
      <c r="E2" s="6">
        <f>C2-D2</f>
        <v/>
      </c>
      <c r="F2" s="2">
        <f>IF(ABS(E2)&lt;0.001,"闭合","不闭合")</f>
        <v/>
      </c>
      <c r="G2" s="4" t="inlineStr">
        <is>
          <t>节距 8 时</t>
        </is>
      </c>
    </row>
    <row r="3" ht="32" customHeight="1">
      <c r="A3" s="4" t="inlineStr">
        <is>
          <t>单侧边距</t>
        </is>
      </c>
      <c r="B3" s="5" t="inlineStr">
        <is>
          <t>(窗宽-槽场外宽)/2</t>
        </is>
      </c>
      <c r="C3" s="6">
        <f>(输入!B6-((输入!B5-1)*输入!B2+输入!B3))/2</f>
        <v/>
      </c>
      <c r="D3" s="6" t="n">
        <v>4.4</v>
      </c>
      <c r="E3" s="6">
        <f>C3-D3</f>
        <v/>
      </c>
      <c r="F3" s="2">
        <f>IF(ABS(E3)&lt;0.001,"闭合","不闭合")</f>
        <v/>
      </c>
      <c r="G3" s="4" t="inlineStr">
        <is>
          <t>推算，不是报告原句</t>
        </is>
      </c>
    </row>
    <row r="4" ht="32" customHeight="1">
      <c r="A4" s="4" t="inlineStr">
        <is>
          <t>窗口链</t>
        </is>
      </c>
      <c r="B4" s="5" t="inlineStr">
        <is>
          <t>槽场外宽+2×边距</t>
        </is>
      </c>
      <c r="C4" s="6">
        <f>(输入!B5-1)*输入!B2+输入!B3+2*((输入!B6-((输入!B5-1)*输入!B2+输入!B3))/2)</f>
        <v/>
      </c>
      <c r="D4" s="6" t="n">
        <v>50</v>
      </c>
      <c r="E4" s="6">
        <f>C4-D4</f>
        <v/>
      </c>
      <c r="F4" s="2">
        <f>IF(ABS(E4)&lt;0.001,"闭合","不闭合")</f>
        <v/>
      </c>
      <c r="G4" s="4" t="inlineStr">
        <is>
          <t>恒等于窗宽。改节距后若边距为负，下一行会不闭合</t>
        </is>
      </c>
    </row>
    <row r="5" ht="32" customHeight="1">
      <c r="A5" s="4" t="inlineStr">
        <is>
          <t>边距不为负</t>
        </is>
      </c>
      <c r="B5" s="5" t="inlineStr">
        <is>
          <t>单侧边距</t>
        </is>
      </c>
      <c r="C5" s="6">
        <f>(输入!B6-((输入!B5-1)*输入!B2+输入!B3))/2</f>
        <v/>
      </c>
      <c r="D5" s="6" t="n">
        <v>4.4</v>
      </c>
      <c r="E5" s="6">
        <f>C5-D5</f>
        <v/>
      </c>
      <c r="F5" s="2">
        <f>IF(ABS(E5)&lt;0.001,"闭合","不闭合")</f>
        <v/>
      </c>
      <c r="G5" s="4" t="inlineStr">
        <is>
          <t>节距过大时结果为负，判定转为不闭合（相对 4.4）。看数值本身是否≥0</t>
        </is>
      </c>
    </row>
    <row r="6" ht="32" customHeight="1">
      <c r="A6" s="4" t="inlineStr">
        <is>
          <t>口带</t>
        </is>
      </c>
      <c r="B6" s="5" t="inlineStr">
        <is>
          <t>4×墙+4×口长+2×间隔+受热长</t>
        </is>
      </c>
      <c r="C6" s="6">
        <f>4*输入!B8+4*输入!B9+2*输入!B10+输入!B7</f>
        <v/>
      </c>
      <c r="D6" s="6" t="n">
        <v>82</v>
      </c>
      <c r="E6" s="6">
        <f>C6-D6</f>
        <v/>
      </c>
      <c r="F6" s="2">
        <f>IF(ABS(E6)&lt;0.001,"闭合","不闭合")</f>
        <v/>
      </c>
      <c r="G6" s="4" t="inlineStr">
        <is>
          <t>Y 19 到 101</t>
        </is>
      </c>
    </row>
    <row r="7" ht="32" customHeight="1">
      <c r="A7" s="4" t="inlineStr">
        <is>
          <t>润湿</t>
        </is>
      </c>
      <c r="B7" s="5" t="inlineStr">
        <is>
          <t>口带-4×墙</t>
        </is>
      </c>
      <c r="C7" s="6">
        <f>4*输入!B9+2*输入!B10+输入!B7</f>
        <v/>
      </c>
      <c r="D7" s="6" t="n">
        <v>78</v>
      </c>
      <c r="E7" s="6">
        <f>C7-D7</f>
        <v/>
      </c>
      <c r="F7" s="2">
        <f>IF(ABS(E7)&lt;0.001,"闭合","不闭合")</f>
        <v/>
      </c>
      <c r="G7" s="4" t="inlineStr"/>
    </row>
    <row r="8" ht="32" customHeight="1">
      <c r="A8" s="4" t="inlineStr">
        <is>
          <t>下边带</t>
        </is>
      </c>
      <c r="B8" s="5" t="inlineStr">
        <is>
          <t>下密封+到廊+前廊+到端墙</t>
        </is>
      </c>
      <c r="C8" s="6">
        <f>输入!B14+输入!B15+输入!B16+输入!B17</f>
        <v/>
      </c>
      <c r="D8" s="6" t="n">
        <v>19</v>
      </c>
      <c r="E8" s="6">
        <f>C8-D8</f>
        <v/>
      </c>
      <c r="F8" s="2">
        <f>IF(ABS(E8)&lt;0.001,"闭合","不闭合")</f>
        <v/>
      </c>
      <c r="G8" s="4" t="inlineStr"/>
    </row>
    <row r="9" ht="32" customHeight="1">
      <c r="A9" s="4" t="inlineStr">
        <is>
          <t>上边带</t>
        </is>
      </c>
      <c r="B9" s="5" t="inlineStr">
        <is>
          <t>到后廊+后廊+到腔顶+下密封</t>
        </is>
      </c>
      <c r="C9" s="6">
        <f>输入!B18+输入!B19+输入!B20+输入!B14</f>
        <v/>
      </c>
      <c r="D9" s="6" t="n">
        <v>19</v>
      </c>
      <c r="E9" s="6">
        <f>C9-D9</f>
        <v/>
      </c>
      <c r="F9" s="2">
        <f>IF(ABS(E9)&lt;0.001,"闭合","不闭合")</f>
        <v/>
      </c>
      <c r="G9" s="4" t="inlineStr">
        <is>
          <t>后廊 9，前廊 8，边带仍相等</t>
        </is>
      </c>
    </row>
    <row r="10" ht="32" customHeight="1">
      <c r="A10" s="4" t="inlineStr">
        <is>
          <t>板高</t>
        </is>
      </c>
      <c r="B10" s="5" t="inlineStr">
        <is>
          <t>下边带+口带+上边带</t>
        </is>
      </c>
      <c r="C10" s="6">
        <f>输入!B14+输入!B15+输入!B16+输入!B17+4*输入!B8+4*输入!B9+2*输入!B10+输入!B7+输入!B18+输入!B19+输入!B20+输入!B14</f>
        <v/>
      </c>
      <c r="D10" s="6" t="n">
        <v>120</v>
      </c>
      <c r="E10" s="6">
        <f>C10-D10</f>
        <v/>
      </c>
      <c r="F10" s="2">
        <f>IF(ABS(E10)&lt;0.001,"闭合","不闭合")</f>
        <v/>
      </c>
      <c r="G10" s="4" t="inlineStr"/>
    </row>
    <row r="11" ht="32" customHeight="1">
      <c r="A11" s="4" t="inlineStr">
        <is>
          <t>槽深差</t>
        </is>
      </c>
      <c r="B11" s="5" t="inlineStr">
        <is>
          <t>通道层-槽深</t>
        </is>
      </c>
      <c r="C11" s="6">
        <f>输入!B11-输入!B4</f>
        <v/>
      </c>
      <c r="D11" s="6" t="n">
        <v>0.4</v>
      </c>
      <c r="E11" s="6">
        <f>C11-D11</f>
        <v/>
      </c>
      <c r="F11" s="2">
        <f>IF(ABS(E11)&lt;0.001,"闭合","不闭合")</f>
        <v/>
      </c>
      <c r="G11" s="4" t="inlineStr">
        <is>
          <t>从分型面向下铣时，槽底以上多 0.40 铜到通道层底</t>
        </is>
      </c>
    </row>
    <row r="12" ht="32" customHeight="1">
      <c r="A12" s="4" t="inlineStr">
        <is>
          <t>缝与槽深不同</t>
        </is>
      </c>
      <c r="B12" s="5" t="inlineStr">
        <is>
          <t>缝深-槽深</t>
        </is>
      </c>
      <c r="C12" s="6">
        <f>输入!B22-输入!B4</f>
        <v/>
      </c>
      <c r="D12" s="6" t="n">
        <v>0.4</v>
      </c>
      <c r="E12" s="6">
        <f>C12-D12</f>
        <v/>
      </c>
      <c r="F12" s="2">
        <f>IF(ABS(E12)&lt;0.001,"闭合","不闭合")</f>
        <v/>
      </c>
      <c r="G12" s="4" t="inlineStr">
        <is>
          <t>缝用满 1.20，槽只 0.80</t>
        </is>
      </c>
    </row>
  </sheetData>
  <autoFilter ref="A1:G1"/>
  <pageMargins left="0.75" right="0.75" top="1" bottom="1" header="0.5" footer="0.5"/>
  <pageSetup orientation="landscape" fitToHeight="0" fitToWidth="1"/>
  <headerFooter>
    <oddHeader>&amp;L尺寸链</oddHeader>
    <oddFooter>&amp;R尺寸核实2 · 公式重算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 ht="22" customHeight="1">
      <c r="A1" s="1" t="inlineStr">
        <is>
          <t>站</t>
        </is>
      </c>
      <c r="B1" s="1" t="inlineStr">
        <is>
          <t>增量</t>
        </is>
      </c>
      <c r="C1" s="1" t="inlineStr">
        <is>
          <t>累计</t>
        </is>
      </c>
      <c r="D1" s="1" t="inlineStr">
        <is>
          <t>图纸坐标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>
      <c r="A2" s="4" t="inlineStr">
        <is>
          <t>左窗左缘</t>
        </is>
      </c>
      <c r="B2" s="6" t="n">
        <v>14</v>
      </c>
      <c r="C2" s="6">
        <f>B2</f>
        <v/>
      </c>
      <c r="D2" s="6" t="n">
        <v>14</v>
      </c>
      <c r="E2" s="6">
        <f>C2-D2</f>
        <v/>
      </c>
      <c r="F2" s="2">
        <f>IF(ABS(E2)&lt;0.001,"一致","偏差")</f>
        <v/>
      </c>
      <c r="G2" s="4" t="inlineStr">
        <is>
          <t>图纸</t>
        </is>
      </c>
    </row>
    <row r="3">
      <c r="A3" s="4" t="inlineStr">
        <is>
          <t>第1槽左缘</t>
        </is>
      </c>
      <c r="B3" s="6">
        <f>(输入!B6-((输入!B5-1)*输入!B2+输入!B3))/2</f>
        <v/>
      </c>
      <c r="C3" s="6">
        <f>C2+B3</f>
        <v/>
      </c>
      <c r="D3" s="6" t="n">
        <v>18.4</v>
      </c>
      <c r="E3" s="6">
        <f>C3-D3</f>
        <v/>
      </c>
      <c r="F3" s="2">
        <f>IF(ABS(E3)&lt;0.001,"一致","偏差")</f>
        <v/>
      </c>
      <c r="G3" s="4" t="inlineStr">
        <is>
          <t>边距</t>
        </is>
      </c>
    </row>
    <row r="4">
      <c r="A4" s="4" t="inlineStr">
        <is>
          <t>第1槽右缘</t>
        </is>
      </c>
      <c r="B4" s="6">
        <f>输入!B3</f>
        <v/>
      </c>
      <c r="C4" s="6">
        <f>C3+B4</f>
        <v/>
      </c>
      <c r="D4" s="6" t="n">
        <v>19.6</v>
      </c>
      <c r="E4" s="6">
        <f>C4-D4</f>
        <v/>
      </c>
      <c r="F4" s="2">
        <f>IF(ABS(E4)&lt;0.001,"一致","偏差")</f>
        <v/>
      </c>
      <c r="G4" s="4" t="inlineStr"/>
    </row>
    <row r="5">
      <c r="A5" s="4" t="inlineStr">
        <is>
          <t>第6槽右缘</t>
        </is>
      </c>
      <c r="B5" s="6">
        <f>5*输入!B2</f>
        <v/>
      </c>
      <c r="C5" s="6">
        <f>C4+B5</f>
        <v/>
      </c>
      <c r="D5" s="6" t="n">
        <v>59.6</v>
      </c>
      <c r="E5" s="6">
        <f>C5-D5</f>
        <v/>
      </c>
      <c r="F5" s="2">
        <f>IF(ABS(E5)&lt;0.001,"一致","偏差")</f>
        <v/>
      </c>
      <c r="G5" s="4" t="inlineStr">
        <is>
          <t>中间 5 个节距，从第1槽右缘到第6槽右缘</t>
        </is>
      </c>
    </row>
    <row r="6">
      <c r="A6" s="4" t="inlineStr">
        <is>
          <t>左窗右缘</t>
        </is>
      </c>
      <c r="B6" s="6">
        <f>(输入!B6-((输入!B5-1)*输入!B2+输入!B3))/2</f>
        <v/>
      </c>
      <c r="C6" s="6">
        <f>C5+B6</f>
        <v/>
      </c>
      <c r="D6" s="6" t="n">
        <v>64</v>
      </c>
      <c r="E6" s="6">
        <f>C6-D6</f>
        <v/>
      </c>
      <c r="F6" s="2">
        <f>IF(ABS(E6)&lt;0.001,"一致","偏差")</f>
        <v/>
      </c>
      <c r="G6" s="4" t="inlineStr"/>
    </row>
  </sheetData>
  <autoFilter ref="A1:G1"/>
  <pageMargins left="0.75" right="0.75" top="1" bottom="1" header="0.5" footer="0.5"/>
  <pageSetup orientation="landscape" fitToHeight="0" fitToWidth="1"/>
  <headerFooter>
    <oddHeader>&amp;L核实2</oddHeader>
    <oddFooter>&amp;R尺寸核实2 · 公式重算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7" t="inlineStr">
        <is>
          <t>节距输入格默认 8.00 mm，对应报告“约 8 mm”。边距 4.40 mm 由窗口宽度反算，改节距后边距跟着变。</t>
        </is>
      </c>
    </row>
    <row r="2" ht="36" customHeight="1">
      <c r="A2" s="7" t="inlineStr">
        <is>
          <t>窗口链一行在代数上恒等于窗宽，所以它总是闭合。判断节距是否放得下，要看“单侧边距”是否大于等于 0。</t>
        </is>
      </c>
    </row>
    <row r="3" ht="36" customHeight="1">
      <c r="A3" s="7" t="inlineStr">
        <is>
          <t>第6槽右缘的增量是 5 个节距：从第 1 条右缘到第 6 条右缘。</t>
        </is>
      </c>
    </row>
    <row r="4" ht="36" customHeight="1">
      <c r="A4" s="7" t="inlineStr">
        <is>
          <t>限流缝有断面和长度，没有坐标，没有放进走查。</t>
        </is>
      </c>
    </row>
    <row r="5" ht="36" customHeight="1">
      <c r="A5" s="7" t="inlineStr">
        <is>
          <t>前后廊高度 8 与 9 不相等。上下边带各 19 mm，板高链仍然闭合。</t>
        </is>
      </c>
    </row>
    <row r="6" ht="36" customHeight="1">
      <c r="A6" s="7" t="inlineStr">
        <is>
          <t>右窗 = 左窗 + 122 mm（14→136，64→186）。工作簿没有重复右窗的同一条链。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2026-09-29T00:11:04Z</dcterms:created>
  <dcterms:modified xmlns:dcterms="http://purl.org/dc/terms/" xmlns:xsi="http://www.w3.org/2001/XMLSchema-instance" xsi:type="dcterms:W3CDTF">2026-09-29T00:11:04Z</dcterms:modified>
</cp:coreProperties>
</file>