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输入" sheetId="2" state="visible" r:id="rId2"/>
    <sheet xmlns:r="http://schemas.openxmlformats.org/officeDocument/2006/relationships" name="尺寸链" sheetId="3" state="visible" r:id="rId3"/>
    <sheet xmlns:r="http://schemas.openxmlformats.org/officeDocument/2006/relationships" name="水力换热" sheetId="4" state="visible" r:id="rId4"/>
    <sheet xmlns:r="http://schemas.openxmlformats.org/officeDocument/2006/relationships" name="温度" sheetId="5" state="visible" r:id="rId5"/>
  </sheets>
  <definedNames>
    <definedName name="FluidDensity">'输入'!$C$5</definedName>
    <definedName name="FluidSpecificHeat">'输入'!$C$6</definedName>
    <definedName name="FluidViscosity">'输入'!$C$7</definedName>
    <definedName name="FluidConductivity">'输入'!$C$8</definedName>
    <definedName name="CopperConductivity">'输入'!$C$9</definedName>
    <definedName name="InletTemperatureC">'输入'!$C$10</definedName>
    <definedName name="FlowRateLpm">'输入'!$C$12</definedName>
    <definedName name="HeatPowerW">'输入'!$C$13</definedName>
    <definedName name="ColumnWidthMm">'输入'!$C$14</definedName>
    <definedName name="ColumnLengthMm">'输入'!$C$15</definedName>
    <definedName name="HeatedLengthMm">'输入'!$C$16</definedName>
    <definedName name="ChannelHeightMm">'输入'!$C$17</definedName>
    <definedName name="BaseCopperMm">'输入'!$C$18</definedName>
    <definedName name="LidCopperMm">'输入'!$C$19</definedName>
    <definedName name="HbmStackMm">'输入'!$C$20</definedName>
    <definedName name="StackCount">'输入'!$C$21</definedName>
    <definedName name="StackHeightMm">'输入'!$C$22</definedName>
    <definedName name="StackGapMm">'输入'!$C$23</definedName>
    <definedName name="TimThicknessMm">'输入'!$C$25</definedName>
    <definedName name="TimConductivity">'输入'!$C$26</definedName>
    <definedName name="RibFloorMm">'输入'!$C$28</definedName>
    <definedName name="WidthFloorMm">'输入'!$C$29</definedName>
    <definedName name="LandFloorMm">'输入'!$C$30</definedName>
    <definedName name="AspectLimit">'输入'!$C$31</definedName>
    <definedName name="VelocityCapMs">'输入'!$C$32</definedName>
    <definedName name="SplitLossK">'输入'!$C$33</definedName>
    <definedName name="SectionAB_ChannelCount">'输入'!$C$35</definedName>
    <definedName name="SectionAB_WidthMm">'输入'!$C$36</definedName>
    <definedName name="SectionAB_RibMm">'输入'!$C$37</definedName>
    <definedName name="SectionAB_LandMm">'输入'!$C$38</definedName>
    <definedName name="SectionC_ChannelCount">'输入'!$C$40</definedName>
    <definedName name="SectionC_WidthMm">'输入'!$C$41</definedName>
    <definedName name="SectionC_RibMm">'输入'!$C$42</definedName>
    <definedName name="SectionC_LandMm">'输入'!$C$43</definedName>
    <definedName name="NuFullyDeveloped">'输入'!$C$45</definedName>
    <definedName name="HausenCoefficient">'输入'!$C$46</definedName>
    <definedName name="ShahCoef0">'输入'!$C$47</definedName>
    <definedName name="ShahCoef1">'输入'!$C$48</definedName>
    <definedName name="ShahCoef2">'输入'!$C$49</definedName>
    <definedName name="ShahCoef3">'输入'!$C$50</definedName>
    <definedName name="ShahCoef4">'输入'!$C$51</definedName>
    <definedName name="ShahCoef5">'输入'!$C$52</definedName>
    <definedName name="UserCoflowSpanC">'输入'!$C$54</definedName>
    <definedName name="UserCrossSpanC">'输入'!$C$55</definedName>
    <definedName name="TargetSpanC">'输入'!$C$56</definedName>
    <definedName name="CfdCoflowSpanK">'输入'!$C$57</definedName>
    <definedName name="CfdCrossSpanK">'输入'!$C$58</definedName>
    <definedName name="CfdCoflowTminK">'输入'!$C$59</definedName>
    <definedName name="CfdCoflowTmaxK">'输入'!$C$60</definedName>
    <definedName name="CfdCrossTminK">'输入'!$C$61</definedName>
    <definedName name="CfdCrossTmaxK">'输入'!$C$62</definedName>
    <definedName name="ChainAB_SumMm">'尺寸链'!$B$10</definedName>
    <definedName name="ChainC_SumMm">'尺寸链'!$B$26</definedName>
    <definedName name="BulkAB_Velocity">'水力换热'!$B$13</definedName>
    <definedName name="BulkC_Velocity">'水力换热'!$C$13</definedName>
    <definedName name="BulkAB_Reynolds">'水力换热'!$B$15</definedName>
    <definedName name="BulkC_Reynolds">'水力换热'!$C$15</definedName>
    <definedName name="BulkAB_DhM">'水力换热'!$B$14</definedName>
    <definedName name="BulkC_DhM">'水力换热'!$C$14</definedName>
    <definedName name="BulkAB_Nusselt">'水力换热'!$B$18</definedName>
    <definedName name="BulkC_Nusselt">'水力换热'!$C$18</definedName>
    <definedName name="BulkAB_HeatCoeff">'水力换热'!$B$19</definedName>
    <definedName name="BulkC_HeatCoeff">'水力换热'!$C$19</definedName>
    <definedName name="BulkAB_FinEta">'水力换热'!$B$21</definedName>
    <definedName name="BulkC_FinEta">'水力换热'!$C$21</definedName>
    <definedName name="BulkAB_dTf">'水力换热'!$B$24</definedName>
    <definedName name="BulkC_dTf">'水力换热'!$C$24</definedName>
    <definedName name="BulkAB_dTconv">'水力换热'!$B$25</definedName>
    <definedName name="BulkC_dTconv">'水力换热'!$C$25</definedName>
    <definedName name="BulkAB_dP">'水力换热'!$B$29</definedName>
    <definedName name="BulkC_dP">'水力换热'!$C$29</definedName>
    <definedName name="BulkAB_dTfLeg">'水力换热'!$B$31</definedName>
    <definedName name="BulkC_dTfLeg">'水力换热'!$C$31</definedName>
    <definedName name="HeatFluxWm2">'水力换热'!$B$36</definedName>
    <definedName name="TimDropC">'水力换热'!$B$37</definedName>
    <definedName name="BulkAB_dPbranch">'水力换热'!$B$35</definedName>
    <definedName name="BulkC_dPbranch">'水力换热'!$C$35</definedName>
    <definedName name="CoflowFieldDt">'温度'!$F$5</definedName>
    <definedName name="SchemeAFieldDt">'温度'!$F$12</definedName>
    <definedName name="SchemeBFieldDt">'温度'!$F$19</definedName>
    <definedName name="SchemeCFieldDt">'温度'!$F$26</definedName>
    <definedName name="ScreenRawC">'温度'!$B$36</definedName>
    <definedName name="ScreenRatioC">'温度'!$B$37</definedName>
    <definedName name="ScreenCfdBiasC">'温度'!$B$38</definedName>
    <definedName name="ScreenLinearMapC">'温度'!$B$41</definedName>
    <definedName name="_xlnm._FilterDatabase" localSheetId="1" hidden="1">'输入'!$A$4:$E$62</definedName>
    <definedName name="_xlnm.Print_Titles" localSheetId="1">'输入'!$1:$4</definedName>
    <definedName name="_xlnm.Print_Titles" localSheetId="2">'尺寸链'!$1:$2</definedName>
    <definedName name="_xlnm._FilterDatabase" localSheetId="3" hidden="1">'水力换热'!$A$4:$E$39</definedName>
    <definedName name="_xlnm.Print_Titles" localSheetId="3">'水力换热'!$1:$4</definedName>
    <definedName name="_xlnm._FilterDatabase" localSheetId="4" hidden="1">'温度'!$A$4:$K$32</definedName>
    <definedName name="_xlnm.Print_Titles" localSheetId="4">'温度'!$1:$4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"/>
    <numFmt numFmtId="166" formatCode="0.000"/>
    <numFmt numFmtId="167" formatCode="0.0000"/>
    <numFmt numFmtId="168" formatCode="0.00000000"/>
  </numFmts>
  <fonts count="6">
    <font>
      <name val="Calibri"/>
      <family val="2"/>
      <color theme="1"/>
      <sz val="11"/>
      <scheme val="minor"/>
    </font>
    <font>
      <name val="Microsoft YaHei"/>
      <b val="1"/>
      <color rgb="000E3A5D"/>
      <sz val="18"/>
    </font>
    <font>
      <name val="Microsoft YaHei"/>
      <color rgb="001C2430"/>
      <sz val="10"/>
    </font>
    <font>
      <name val="Microsoft YaHei"/>
      <b val="1"/>
      <color rgb="001C2430"/>
      <sz val="10"/>
    </font>
    <font>
      <name val="Microsoft YaHei"/>
      <color rgb="000000FF"/>
      <sz val="10"/>
    </font>
    <font>
      <name val="Microsoft YaHe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F7F4EC"/>
      </patternFill>
    </fill>
    <fill>
      <patternFill patternType="solid">
        <fgColor rgb="00E7EEF5"/>
      </patternFill>
    </fill>
    <fill>
      <patternFill patternType="solid">
        <fgColor rgb="00F4F8FC"/>
      </patternFill>
    </fill>
    <fill>
      <patternFill patternType="solid">
        <fgColor rgb="000E3A5D"/>
      </patternFill>
    </fill>
    <fill>
      <patternFill patternType="solid">
        <fgColor rgb="00E5F2EA"/>
      </patternFill>
    </fill>
  </fills>
  <borders count="6">
    <border>
      <left/>
      <right/>
      <top/>
      <bottom/>
      <diagonal/>
    </border>
    <border>
      <left style="thin">
        <color rgb="00C5D0DC"/>
      </left>
      <right style="thin">
        <color rgb="00C5D0DC"/>
      </right>
      <top style="thin">
        <color rgb="00C5D0DC"/>
      </top>
      <bottom style="thin">
        <color rgb="00C5D0DC"/>
      </bottom>
    </border>
    <border>
      <left/>
      <right/>
      <top style="thin">
        <color rgb="00C5D0DC"/>
      </top>
      <bottom/>
      <diagonal/>
    </border>
    <border>
      <left/>
      <right style="thin">
        <color rgb="00C5D0DC"/>
      </right>
      <top style="thin">
        <color rgb="00C5D0DC"/>
      </top>
      <bottom/>
      <diagonal/>
    </border>
    <border>
      <left/>
      <right/>
      <top style="thin">
        <color rgb="00C5D0DC"/>
      </top>
      <bottom style="thin">
        <color rgb="00C5D0DC"/>
      </bottom>
      <diagonal/>
    </border>
    <border>
      <left/>
      <right style="thin">
        <color rgb="00C5D0DC"/>
      </right>
      <top style="thin">
        <color rgb="00C5D0DC"/>
      </top>
      <bottom style="thin">
        <color rgb="00C5D0D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7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166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2" fontId="2" fillId="2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166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vertical="center" wrapText="1"/>
    </xf>
    <xf numFmtId="166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E26"/>
  <sheetViews>
    <sheetView showGridLines="0" zoomScale="11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46" customWidth="1" min="5" max="5"/>
  </cols>
  <sheetData>
    <row r="1" ht="30" customHeight="1">
      <c r="A1" s="1" t="inlineStr">
        <is>
          <t>HBM 微通道冷板 · 一维设计计算</t>
        </is>
      </c>
    </row>
    <row r="2">
      <c r="A2" s="2" t="inlineStr">
        <is>
          <t>v1.0    2026-09-29    单列四颗、单侧 0.20 L/min、99.22 W</t>
        </is>
      </c>
    </row>
    <row r="3" ht="32" customHeight="1">
      <c r="A3" s="3" t="inlineStr">
        <is>
          <t>采用方案是截面 C 的中心进水。本簿蓝色输入可改。水力与尺寸链会重算。温度表里的铜温来自分段网络，是已经算完的数值。</t>
        </is>
      </c>
    </row>
    <row r="5">
      <c r="A5" s="4" t="inlineStr">
        <is>
          <t>项目</t>
        </is>
      </c>
      <c r="B5" s="4" t="inlineStr">
        <is>
          <t>截面 A/B</t>
        </is>
      </c>
      <c r="C5" s="4" t="inlineStr">
        <is>
          <t>截面 C</t>
        </is>
      </c>
      <c r="D5" s="4" t="inlineStr">
        <is>
          <t>单位</t>
        </is>
      </c>
      <c r="E5" s="4" t="inlineStr">
        <is>
          <t>说明</t>
        </is>
      </c>
    </row>
    <row r="6">
      <c r="A6" s="2" t="inlineStr">
        <is>
          <t>满槽流速</t>
        </is>
      </c>
      <c r="B6" s="5">
        <f>BulkAB_Velocity</f>
        <v/>
      </c>
      <c r="C6" s="5">
        <f>BulkC_Velocity</f>
        <v/>
      </c>
      <c r="D6" s="2" t="inlineStr">
        <is>
          <t>m/s</t>
        </is>
      </c>
      <c r="E6" s="2" t="inlineStr">
        <is>
          <t>上限 0.80，看满槽</t>
        </is>
      </c>
    </row>
    <row r="7">
      <c r="A7" s="2" t="inlineStr">
        <is>
          <t>雷诺数</t>
        </is>
      </c>
      <c r="B7" s="6">
        <f>BulkAB_Reynolds</f>
        <v/>
      </c>
      <c r="C7" s="6">
        <f>BulkC_Reynolds</f>
        <v/>
      </c>
      <c r="D7" s="2" t="inlineStr"/>
      <c r="E7" s="2" t="inlineStr"/>
    </row>
    <row r="8">
      <c r="A8" s="2" t="inlineStr">
        <is>
          <t>流体温升</t>
        </is>
      </c>
      <c r="B8" s="6">
        <f>BulkAB_dTf</f>
        <v/>
      </c>
      <c r="C8" s="6">
        <f>BulkC_dTf</f>
        <v/>
      </c>
      <c r="D8" s="2" t="inlineStr">
        <is>
          <t>K</t>
        </is>
      </c>
      <c r="E8" s="2" t="inlineStr">
        <is>
          <t>整列</t>
        </is>
      </c>
    </row>
    <row r="9">
      <c r="A9" s="2" t="inlineStr">
        <is>
          <t>支路流体温升</t>
        </is>
      </c>
      <c r="B9" s="6">
        <f>BulkAB_dTfLeg</f>
        <v/>
      </c>
      <c r="C9" s="6">
        <f>BulkC_dTfLeg</f>
        <v/>
      </c>
      <c r="D9" s="2" t="inlineStr">
        <is>
          <t>K</t>
        </is>
      </c>
      <c r="E9" s="2" t="inlineStr">
        <is>
          <t>与整列相同</t>
        </is>
      </c>
    </row>
    <row r="10">
      <c r="A10" s="2" t="inlineStr">
        <is>
          <t>对流温差</t>
        </is>
      </c>
      <c r="B10" s="6">
        <f>BulkAB_dTconv</f>
        <v/>
      </c>
      <c r="C10" s="6">
        <f>BulkC_dTconv</f>
        <v/>
      </c>
      <c r="D10" s="2" t="inlineStr">
        <is>
          <t>K</t>
        </is>
      </c>
      <c r="E10" s="2" t="inlineStr">
        <is>
          <t>截面一变，这一行才变</t>
        </is>
      </c>
    </row>
    <row r="11">
      <c r="A11" s="2" t="inlineStr">
        <is>
          <t>肋效率</t>
        </is>
      </c>
      <c r="B11" s="6">
        <f>BulkAB_FinEta</f>
        <v/>
      </c>
      <c r="C11" s="6">
        <f>BulkC_FinEta</f>
        <v/>
      </c>
      <c r="D11" s="2" t="inlineStr"/>
      <c r="E11" s="2" t="inlineStr"/>
    </row>
    <row r="12">
      <c r="A12" s="2" t="inlineStr">
        <is>
          <t>直槽压降</t>
        </is>
      </c>
      <c r="B12" s="7">
        <f>BulkAB_dP</f>
        <v/>
      </c>
      <c r="C12" s="7">
        <f>BulkC_dP</f>
        <v/>
      </c>
      <c r="D12" s="2" t="inlineStr">
        <is>
          <t>Pa</t>
        </is>
      </c>
      <c r="E12" s="2" t="inlineStr">
        <is>
          <t>Shah–London，50 mm</t>
        </is>
      </c>
    </row>
    <row r="13">
      <c r="A13" s="2" t="inlineStr">
        <is>
          <t>换热系数</t>
        </is>
      </c>
      <c r="B13" s="6">
        <f>BulkAB_HeatCoeff</f>
        <v/>
      </c>
      <c r="C13" s="6">
        <f>BulkC_HeatCoeff</f>
        <v/>
      </c>
      <c r="D13" s="2" t="inlineStr">
        <is>
          <t>W/(m²·K)</t>
        </is>
      </c>
      <c r="E13" s="2" t="inlineStr"/>
    </row>
    <row r="14">
      <c r="A14" s="2" t="inlineStr">
        <is>
          <t>TIM 温降</t>
        </is>
      </c>
      <c r="B14" s="6">
        <f>TimDropC</f>
        <v/>
      </c>
      <c r="C14" s="6">
        <f>TimDropC</f>
        <v/>
      </c>
      <c r="D14" s="2" t="inlineStr">
        <is>
          <t>K</t>
        </is>
      </c>
      <c r="E14" s="2" t="inlineStr">
        <is>
          <t>各方案相同</t>
        </is>
      </c>
    </row>
    <row r="15">
      <c r="A15" s="2" t="inlineStr">
        <is>
          <t>列宽链</t>
        </is>
      </c>
      <c r="B15" s="6">
        <f>ChainAB_SumMm</f>
        <v/>
      </c>
      <c r="C15" s="6">
        <f>ChainC_SumMm</f>
        <v/>
      </c>
      <c r="D15" s="2" t="inlineStr">
        <is>
          <t>mm</t>
        </is>
      </c>
      <c r="E15" s="2" t="inlineStr">
        <is>
          <t>SUM 闭合到 11</t>
        </is>
      </c>
    </row>
    <row r="17" ht="32" customHeight="1">
      <c r="A17" s="8" t="inlineStr">
        <is>
          <t>核对：7×0.80 mm × 2.00 mm、肋 0.80 mm、0.20 L/min、99.22 W 时，流体温升约 7.179 K，对流温差约 14.81 K，直槽压降约 60.9 Pa。</t>
        </is>
      </c>
    </row>
    <row r="18" ht="32" customHeight="1">
      <c r="A18" s="3" t="inlineStr">
        <is>
          <t>方案 C 的三段筛选在「温度」表末：原始场温差、8 °C 比值、CFD 6.5 K 偏差。三行不合并成通过。直线映射只说明是否贴着 5 °C 目标线。</t>
        </is>
      </c>
    </row>
    <row r="20">
      <c r="A20" s="4" t="inlineStr">
        <is>
          <t>筛选</t>
        </is>
      </c>
      <c r="B20" s="4" t="inlineStr">
        <is>
          <t>°C</t>
        </is>
      </c>
      <c r="C20" s="4" t="inlineStr">
        <is>
          <t>来源</t>
        </is>
      </c>
      <c r="D20" s="4" t="inlineStr"/>
      <c r="E20" s="4" t="inlineStr">
        <is>
          <t>用法</t>
        </is>
      </c>
    </row>
    <row r="21">
      <c r="A21" s="2" t="inlineStr">
        <is>
          <t>方案 C 原始场温差</t>
        </is>
      </c>
      <c r="B21" s="6">
        <f>ScreenRawC</f>
        <v/>
      </c>
      <c r="C21" s="2" t="inlineStr">
        <is>
          <t>温度表</t>
        </is>
      </c>
      <c r="D21" s="2" t="inlineStr"/>
      <c r="E21" s="2" t="inlineStr">
        <is>
          <t>一维受热壁最高减最低</t>
        </is>
      </c>
    </row>
    <row r="22">
      <c r="A22" s="2" t="inlineStr">
        <is>
          <t>比值读数</t>
        </is>
      </c>
      <c r="B22" s="6">
        <f>ScreenRatioC</f>
        <v/>
      </c>
      <c r="C22" s="2" t="inlineStr">
        <is>
          <t>温度表</t>
        </is>
      </c>
      <c r="D22" s="2" t="inlineStr"/>
      <c r="E22" s="2" t="inlineStr">
        <is>
          <t>用户 8 °C 按 A→C 的一维比例</t>
        </is>
      </c>
    </row>
    <row r="23">
      <c r="A23" s="2" t="inlineStr">
        <is>
          <t>CFD 偏差读数</t>
        </is>
      </c>
      <c r="B23" s="6">
        <f>ScreenCfdBiasC</f>
        <v/>
      </c>
      <c r="C23" s="2" t="inlineStr">
        <is>
          <t>温度表</t>
        </is>
      </c>
      <c r="D23" s="2" t="inlineStr"/>
      <c r="E23" s="2" t="inlineStr">
        <is>
          <t>把横流 CFD 与方案 A 的差移到方案 C</t>
        </is>
      </c>
    </row>
    <row r="24">
      <c r="A24" s="2" t="inlineStr">
        <is>
          <t>直线映射</t>
        </is>
      </c>
      <c r="B24" s="6">
        <f>ScreenLinearMapC</f>
        <v/>
      </c>
      <c r="C24" s="2" t="inlineStr">
        <is>
          <t>温度表</t>
        </is>
      </c>
      <c r="D24" s="2" t="inlineStr"/>
      <c r="E24" s="2" t="inlineStr">
        <is>
          <t>贴目标线不是达到目标</t>
        </is>
      </c>
    </row>
    <row r="26" ht="32" customHeight="1">
      <c r="A26" s="2" t="inlineStr">
        <is>
          <t>方案 B、方案 C 没有 CFD。一维铜耦合比用户的横流 8 °C 和横流 CFD 面温跨度 6.5 K 更低、更平。本簿是筛选。</t>
        </is>
      </c>
    </row>
  </sheetData>
  <mergeCells count="6">
    <mergeCell ref="A26:E26"/>
    <mergeCell ref="A2:E2"/>
    <mergeCell ref="A1:E1"/>
    <mergeCell ref="A17:E17"/>
    <mergeCell ref="A18:E18"/>
    <mergeCell ref="A3:E3"/>
  </mergeCells>
  <pageMargins left="0.5" right="0.5" top="0.65" bottom="0.55" header="0.25" footer="0.25"/>
  <pageSetup orientation="portrait" paperSize="9" fitToHeight="0" fitToWidth="1" horizontalDpi="300" verticalDpi="300"/>
  <headerFooter>
    <oddHeader>&amp;LHBM微通道冷板 1D 设计计算&amp;R2026-09-29</oddHeader>
    <oddFooter>&amp;Lv1.0  单列四颗&amp;R第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 fitToPage="1"/>
  </sheetPr>
  <dimension ref="A1:E62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6" customWidth="1" min="3" max="3"/>
    <col width="18" customWidth="1" min="4" max="4"/>
    <col width="62" customWidth="1" min="5" max="5"/>
  </cols>
  <sheetData>
    <row r="1" ht="28" customHeight="1">
      <c r="A1" s="1" t="inlineStr">
        <is>
          <t>输入（蓝色字体）</t>
        </is>
      </c>
    </row>
    <row r="2" ht="36" customHeight="1">
      <c r="A2" s="3" t="inlineStr">
        <is>
          <t>蓝色格子是独立输入。岸宽不由列宽反推。尺寸链、水力、TIM 温降在其他表里用公式重算。分段铜温在「温度」表，是一维网络的数值。</t>
        </is>
      </c>
    </row>
    <row r="4">
      <c r="A4" s="4" t="inlineStr">
        <is>
          <t>分组</t>
        </is>
      </c>
      <c r="B4" s="4" t="inlineStr">
        <is>
          <t>量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说明</t>
        </is>
      </c>
    </row>
    <row r="5">
      <c r="A5" s="9" t="inlineStr">
        <is>
          <t>流体</t>
        </is>
      </c>
      <c r="B5" s="2" t="inlineStr">
        <is>
          <t>密度</t>
        </is>
      </c>
      <c r="C5" s="10" t="n">
        <v>992.2</v>
      </c>
      <c r="D5" s="2" t="inlineStr">
        <is>
          <t>kg/m³</t>
        </is>
      </c>
      <c r="E5" s="2" t="inlineStr">
        <is>
          <t>水，40 °C</t>
        </is>
      </c>
    </row>
    <row r="6">
      <c r="A6" s="9" t="inlineStr">
        <is>
          <t>流体</t>
        </is>
      </c>
      <c r="B6" s="2" t="inlineStr">
        <is>
          <t>比热</t>
        </is>
      </c>
      <c r="C6" s="11" t="n">
        <v>4179</v>
      </c>
      <c r="D6" s="2" t="inlineStr">
        <is>
          <t>J/(kg·K)</t>
        </is>
      </c>
      <c r="E6" s="2" t="inlineStr">
        <is>
          <t>水，40 °C</t>
        </is>
      </c>
    </row>
    <row r="7">
      <c r="A7" s="9" t="inlineStr">
        <is>
          <t>流体</t>
        </is>
      </c>
      <c r="B7" s="2" t="inlineStr">
        <is>
          <t>动力粘度</t>
        </is>
      </c>
      <c r="C7" s="12" t="n">
        <v>0.000653</v>
      </c>
      <c r="D7" s="2" t="inlineStr">
        <is>
          <t>Pa·s</t>
        </is>
      </c>
      <c r="E7" s="2" t="inlineStr">
        <is>
          <t>水，40 °C</t>
        </is>
      </c>
    </row>
    <row r="8">
      <c r="A8" s="9" t="inlineStr">
        <is>
          <t>流体</t>
        </is>
      </c>
      <c r="B8" s="2" t="inlineStr">
        <is>
          <t>导热系数</t>
        </is>
      </c>
      <c r="C8" s="13" t="n">
        <v>0.631</v>
      </c>
      <c r="D8" s="2" t="inlineStr">
        <is>
          <t>W/(m·K)</t>
        </is>
      </c>
      <c r="E8" s="2" t="inlineStr">
        <is>
          <t>水，40 °C</t>
        </is>
      </c>
    </row>
    <row r="9">
      <c r="A9" s="9" t="inlineStr">
        <is>
          <t>流体</t>
        </is>
      </c>
      <c r="B9" s="2" t="inlineStr">
        <is>
          <t>铜导热系数</t>
        </is>
      </c>
      <c r="C9" s="11" t="n">
        <v>390</v>
      </c>
      <c r="D9" s="2" t="inlineStr">
        <is>
          <t>W/(m·K)</t>
        </is>
      </c>
      <c r="E9" s="2" t="inlineStr">
        <is>
          <t>槽壁与底铜</t>
        </is>
      </c>
    </row>
    <row r="10">
      <c r="A10" s="9" t="inlineStr">
        <is>
          <t>流体</t>
        </is>
      </c>
      <c r="B10" s="2" t="inlineStr">
        <is>
          <t>入口温度</t>
        </is>
      </c>
      <c r="C10" s="14" t="n">
        <v>40</v>
      </c>
      <c r="D10" s="2" t="inlineStr">
        <is>
          <t>°C</t>
        </is>
      </c>
      <c r="E10" s="2" t="inlineStr">
        <is>
          <t>四套流向共用</t>
        </is>
      </c>
    </row>
    <row r="12">
      <c r="A12" s="9" t="inlineStr">
        <is>
          <t>工况</t>
        </is>
      </c>
      <c r="B12" s="2" t="inlineStr">
        <is>
          <t>体积流量</t>
        </is>
      </c>
      <c r="C12" s="14" t="n">
        <v>0.2</v>
      </c>
      <c r="D12" s="2" t="inlineStr">
        <is>
          <t>L/min</t>
        </is>
      </c>
      <c r="E12" s="2" t="inlineStr">
        <is>
          <t>单列、单侧</t>
        </is>
      </c>
    </row>
    <row r="13">
      <c r="A13" s="9" t="inlineStr">
        <is>
          <t>工况</t>
        </is>
      </c>
      <c r="B13" s="2" t="inlineStr">
        <is>
          <t>加热功率</t>
        </is>
      </c>
      <c r="C13" s="14" t="n">
        <v>99.22</v>
      </c>
      <c r="D13" s="2" t="inlineStr">
        <is>
          <t>W</t>
        </is>
      </c>
      <c r="E13" s="2" t="inlineStr">
        <is>
          <t>单列、单侧</t>
        </is>
      </c>
    </row>
    <row r="14">
      <c r="A14" s="9" t="inlineStr">
        <is>
          <t>工况</t>
        </is>
      </c>
      <c r="B14" s="2" t="inlineStr">
        <is>
          <t>列宽</t>
        </is>
      </c>
      <c r="C14" s="13" t="n">
        <v>11</v>
      </c>
      <c r="D14" s="2" t="inlineStr">
        <is>
          <t>mm</t>
        </is>
      </c>
      <c r="E14" s="2" t="inlineStr">
        <is>
          <t>尺寸链封闭环</t>
        </is>
      </c>
    </row>
    <row r="15">
      <c r="A15" s="9" t="inlineStr">
        <is>
          <t>工况</t>
        </is>
      </c>
      <c r="B15" s="2" t="inlineStr">
        <is>
          <t>列长</t>
        </is>
      </c>
      <c r="C15" s="13" t="n">
        <v>50</v>
      </c>
      <c r="D15" s="2" t="inlineStr">
        <is>
          <t>mm</t>
        </is>
      </c>
      <c r="E15" s="2" t="inlineStr">
        <is>
          <t>四颗加三处间隙</t>
        </is>
      </c>
    </row>
    <row r="16">
      <c r="A16" s="9" t="inlineStr">
        <is>
          <t>工况</t>
        </is>
      </c>
      <c r="B16" s="2" t="inlineStr">
        <is>
          <t>加热长度</t>
        </is>
      </c>
      <c r="C16" s="13" t="n">
        <v>44</v>
      </c>
      <c r="D16" s="2" t="inlineStr">
        <is>
          <t>mm</t>
        </is>
      </c>
      <c r="E16" s="2" t="inlineStr">
        <is>
          <t>四颗，间隙不加热</t>
        </is>
      </c>
    </row>
    <row r="17">
      <c r="A17" s="9" t="inlineStr">
        <is>
          <t>工况</t>
        </is>
      </c>
      <c r="B17" s="2" t="inlineStr">
        <is>
          <t>槽高</t>
        </is>
      </c>
      <c r="C17" s="13" t="n">
        <v>2</v>
      </c>
      <c r="D17" s="2" t="inlineStr">
        <is>
          <t>mm</t>
        </is>
      </c>
      <c r="E17" s="2" t="inlineStr">
        <is>
          <t>保持 2.00，铜栈才是 8.0</t>
        </is>
      </c>
    </row>
    <row r="18">
      <c r="A18" s="9" t="inlineStr">
        <is>
          <t>工况</t>
        </is>
      </c>
      <c r="B18" s="2" t="inlineStr">
        <is>
          <t>底铜</t>
        </is>
      </c>
      <c r="C18" s="13" t="n">
        <v>2</v>
      </c>
      <c r="D18" s="2" t="inlineStr">
        <is>
          <t>mm</t>
        </is>
      </c>
      <c r="E18" s="2" t="inlineStr">
        <is>
          <t>铜栈第一段</t>
        </is>
      </c>
    </row>
    <row r="19">
      <c r="A19" s="9" t="inlineStr">
        <is>
          <t>工况</t>
        </is>
      </c>
      <c r="B19" s="2" t="inlineStr">
        <is>
          <t>盖板</t>
        </is>
      </c>
      <c r="C19" s="13" t="n">
        <v>4</v>
      </c>
      <c r="D19" s="2" t="inlineStr">
        <is>
          <t>mm</t>
        </is>
      </c>
      <c r="E19" s="2" t="inlineStr">
        <is>
          <t>铜栈第三段</t>
        </is>
      </c>
    </row>
    <row r="20">
      <c r="A20" s="9" t="inlineStr">
        <is>
          <t>工况</t>
        </is>
      </c>
      <c r="B20" s="2" t="inlineStr">
        <is>
          <t>铜栈封闭值</t>
        </is>
      </c>
      <c r="C20" s="13" t="n">
        <v>8</v>
      </c>
      <c r="D20" s="2" t="inlineStr">
        <is>
          <t>mm</t>
        </is>
      </c>
      <c r="E20" s="2" t="inlineStr">
        <is>
          <t>底+槽+盖的封闭环，不参与反推</t>
        </is>
      </c>
    </row>
    <row r="21">
      <c r="A21" s="9" t="inlineStr">
        <is>
          <t>工况</t>
        </is>
      </c>
      <c r="B21" s="2" t="inlineStr">
        <is>
          <t>芯片颗数</t>
        </is>
      </c>
      <c r="C21" s="11" t="n">
        <v>4</v>
      </c>
      <c r="D21" s="2" t="inlineStr"/>
      <c r="E21" s="2" t="inlineStr">
        <is>
          <t>沿 Y</t>
        </is>
      </c>
    </row>
    <row r="22">
      <c r="A22" s="9" t="inlineStr">
        <is>
          <t>工况</t>
        </is>
      </c>
      <c r="B22" s="2" t="inlineStr">
        <is>
          <t>单颗高度</t>
        </is>
      </c>
      <c r="C22" s="13" t="n">
        <v>11</v>
      </c>
      <c r="D22" s="2" t="inlineStr">
        <is>
          <t>mm</t>
        </is>
      </c>
      <c r="E22" s="2" t="inlineStr">
        <is>
          <t>受热</t>
        </is>
      </c>
    </row>
    <row r="23">
      <c r="A23" s="9" t="inlineStr">
        <is>
          <t>工况</t>
        </is>
      </c>
      <c r="B23" s="2" t="inlineStr">
        <is>
          <t>颗间间隙</t>
        </is>
      </c>
      <c r="C23" s="13" t="n">
        <v>2</v>
      </c>
      <c r="D23" s="2" t="inlineStr">
        <is>
          <t>mm</t>
        </is>
      </c>
      <c r="E23" s="2" t="inlineStr">
        <is>
          <t>不加热</t>
        </is>
      </c>
    </row>
    <row r="25">
      <c r="A25" s="9" t="inlineStr">
        <is>
          <t>TIM</t>
        </is>
      </c>
      <c r="B25" s="2" t="inlineStr">
        <is>
          <t>厚度</t>
        </is>
      </c>
      <c r="C25" s="13" t="n">
        <v>0.08</v>
      </c>
      <c r="D25" s="2" t="inlineStr">
        <is>
          <t>mm</t>
        </is>
      </c>
      <c r="E25" s="2" t="inlineStr">
        <is>
          <t>与 UC-01b 相同</t>
        </is>
      </c>
    </row>
    <row r="26">
      <c r="A26" s="9" t="inlineStr">
        <is>
          <t>TIM</t>
        </is>
      </c>
      <c r="B26" s="2" t="inlineStr">
        <is>
          <t>导热系数</t>
        </is>
      </c>
      <c r="C26" s="12" t="n">
        <v>8.818341999999999</v>
      </c>
      <c r="D26" s="2" t="inlineStr">
        <is>
          <t>W/(m·K)</t>
        </is>
      </c>
      <c r="E26" s="2" t="inlineStr">
        <is>
          <t>与 UC-01b 相同</t>
        </is>
      </c>
    </row>
    <row r="28">
      <c r="A28" s="9" t="inlineStr">
        <is>
          <t>工艺</t>
        </is>
      </c>
      <c r="B28" s="2" t="inlineStr">
        <is>
          <t>肋宽下限</t>
        </is>
      </c>
      <c r="C28" s="14" t="n">
        <v>0.3</v>
      </c>
      <c r="D28" s="2" t="inlineStr">
        <is>
          <t>mm</t>
        </is>
      </c>
      <c r="E28" s="2" t="inlineStr">
        <is>
          <t>rules.py 齿壁下限</t>
        </is>
      </c>
    </row>
    <row r="29">
      <c r="A29" s="9" t="inlineStr">
        <is>
          <t>工艺</t>
        </is>
      </c>
      <c r="B29" s="2" t="inlineStr">
        <is>
          <t>槽宽下限</t>
        </is>
      </c>
      <c r="C29" s="14" t="n">
        <v>0.4</v>
      </c>
      <c r="D29" s="2" t="inlineStr">
        <is>
          <t>mm</t>
        </is>
      </c>
      <c r="E29" s="2" t="inlineStr">
        <is>
          <t>与深宽比 5 在槽高 2 mm 时重合</t>
        </is>
      </c>
    </row>
    <row r="30">
      <c r="A30" s="9" t="inlineStr">
        <is>
          <t>工艺</t>
        </is>
      </c>
      <c r="B30" s="2" t="inlineStr">
        <is>
          <t>岸宽下限</t>
        </is>
      </c>
      <c r="C30" s="14" t="n">
        <v>0.3</v>
      </c>
      <c r="D30" s="2" t="inlineStr">
        <is>
          <t>mm</t>
        </is>
      </c>
      <c r="E30" s="2" t="inlineStr">
        <is>
          <t>左右岸各自</t>
        </is>
      </c>
    </row>
    <row r="31">
      <c r="A31" s="9" t="inlineStr">
        <is>
          <t>工艺</t>
        </is>
      </c>
      <c r="B31" s="2" t="inlineStr">
        <is>
          <t>深宽比上限</t>
        </is>
      </c>
      <c r="C31" s="10" t="n">
        <v>5</v>
      </c>
      <c r="D31" s="2" t="inlineStr"/>
      <c r="E31" s="2" t="inlineStr">
        <is>
          <t>槽深/槽宽，铲齿</t>
        </is>
      </c>
    </row>
    <row r="32">
      <c r="A32" s="9" t="inlineStr">
        <is>
          <t>工艺</t>
        </is>
      </c>
      <c r="B32" s="2" t="inlineStr">
        <is>
          <t>流速上限</t>
        </is>
      </c>
      <c r="C32" s="14" t="n">
        <v>0.8</v>
      </c>
      <c r="D32" s="2" t="inlineStr">
        <is>
          <t>m/s</t>
        </is>
      </c>
      <c r="E32" s="2" t="inlineStr">
        <is>
          <t>用满槽流速，不用支路流速</t>
        </is>
      </c>
    </row>
    <row r="33">
      <c r="A33" s="9" t="inlineStr">
        <is>
          <t>工艺</t>
        </is>
      </c>
      <c r="B33" s="2" t="inlineStr">
        <is>
          <t>分流局部阻力</t>
        </is>
      </c>
      <c r="C33" s="10" t="n">
        <v>1.5</v>
      </c>
      <c r="D33" s="2" t="inlineStr"/>
      <c r="E33" s="2" t="inlineStr">
        <is>
          <t>假定值，不是实测 K</t>
        </is>
      </c>
    </row>
    <row r="35">
      <c r="A35" s="9" t="inlineStr">
        <is>
          <t>截面AB</t>
        </is>
      </c>
      <c r="B35" s="2" t="inlineStr">
        <is>
          <t>槽数</t>
        </is>
      </c>
      <c r="C35" s="11" t="n">
        <v>7</v>
      </c>
      <c r="D35" s="2" t="inlineStr"/>
      <c r="E35" s="2" t="inlineStr">
        <is>
          <t>方案 A、B 与顺流对照</t>
        </is>
      </c>
    </row>
    <row r="36">
      <c r="A36" s="9" t="inlineStr">
        <is>
          <t>截面AB</t>
        </is>
      </c>
      <c r="B36" s="2" t="inlineStr">
        <is>
          <t>槽宽</t>
        </is>
      </c>
      <c r="C36" s="14" t="n">
        <v>0.8</v>
      </c>
      <c r="D36" s="2" t="inlineStr">
        <is>
          <t>mm</t>
        </is>
      </c>
      <c r="E36" s="2" t="inlineStr">
        <is>
          <t>独立输入</t>
        </is>
      </c>
    </row>
    <row r="37">
      <c r="A37" s="9" t="inlineStr">
        <is>
          <t>截面AB</t>
        </is>
      </c>
      <c r="B37" s="2" t="inlineStr">
        <is>
          <t>肋宽</t>
        </is>
      </c>
      <c r="C37" s="14" t="n">
        <v>0.8</v>
      </c>
      <c r="D37" s="2" t="inlineStr">
        <is>
          <t>mm</t>
        </is>
      </c>
      <c r="E37" s="2" t="inlineStr">
        <is>
          <t>独立输入</t>
        </is>
      </c>
    </row>
    <row r="38">
      <c r="A38" s="9" t="inlineStr">
        <is>
          <t>截面AB</t>
        </is>
      </c>
      <c r="B38" s="2" t="inlineStr">
        <is>
          <t>岸宽</t>
        </is>
      </c>
      <c r="C38" s="14" t="n">
        <v>0.3</v>
      </c>
      <c r="D38" s="2" t="inlineStr">
        <is>
          <t>mm</t>
        </is>
      </c>
      <c r="E38" s="2" t="inlineStr">
        <is>
          <t>独立输入，左右各一</t>
        </is>
      </c>
    </row>
    <row r="40">
      <c r="A40" s="9" t="inlineStr">
        <is>
          <t>截面C</t>
        </is>
      </c>
      <c r="B40" s="2" t="inlineStr">
        <is>
          <t>槽数</t>
        </is>
      </c>
      <c r="C40" s="11" t="n">
        <v>11</v>
      </c>
      <c r="D40" s="2" t="inlineStr"/>
      <c r="E40" s="2" t="inlineStr">
        <is>
          <t>采用方案</t>
        </is>
      </c>
    </row>
    <row r="41">
      <c r="A41" s="9" t="inlineStr">
        <is>
          <t>截面C</t>
        </is>
      </c>
      <c r="B41" s="2" t="inlineStr">
        <is>
          <t>槽宽</t>
        </is>
      </c>
      <c r="C41" s="14" t="n">
        <v>0.45</v>
      </c>
      <c r="D41" s="2" t="inlineStr">
        <is>
          <t>mm</t>
        </is>
      </c>
      <c r="E41" s="2" t="inlineStr">
        <is>
          <t>独立输入</t>
        </is>
      </c>
    </row>
    <row r="42">
      <c r="A42" s="9" t="inlineStr">
        <is>
          <t>截面C</t>
        </is>
      </c>
      <c r="B42" s="2" t="inlineStr">
        <is>
          <t>肋宽</t>
        </is>
      </c>
      <c r="C42" s="14" t="n">
        <v>0.5</v>
      </c>
      <c r="D42" s="2" t="inlineStr">
        <is>
          <t>mm</t>
        </is>
      </c>
      <c r="E42" s="2" t="inlineStr">
        <is>
          <t>独立输入</t>
        </is>
      </c>
    </row>
    <row r="43">
      <c r="A43" s="9" t="inlineStr">
        <is>
          <t>截面C</t>
        </is>
      </c>
      <c r="B43" s="2" t="inlineStr">
        <is>
          <t>岸宽</t>
        </is>
      </c>
      <c r="C43" s="13" t="n">
        <v>0.525</v>
      </c>
      <c r="D43" s="2" t="inlineStr">
        <is>
          <t>mm</t>
        </is>
      </c>
      <c r="E43" s="2" t="inlineStr">
        <is>
          <t>独立输入，左右各一</t>
        </is>
      </c>
    </row>
    <row r="45">
      <c r="A45" s="9" t="inlineStr">
        <is>
          <t>关联式</t>
        </is>
      </c>
      <c r="B45" s="2" t="inlineStr">
        <is>
          <t>充分发展 Nu 下限</t>
        </is>
      </c>
      <c r="C45" s="14" t="n">
        <v>4</v>
      </c>
      <c r="D45" s="2" t="inlineStr"/>
      <c r="E45" s="2" t="inlineStr">
        <is>
          <t>Hausen 式的地板</t>
        </is>
      </c>
    </row>
    <row r="46">
      <c r="A46" s="9" t="inlineStr">
        <is>
          <t>关联式</t>
        </is>
      </c>
      <c r="B46" s="2" t="inlineStr">
        <is>
          <t>Hausen 系数</t>
        </is>
      </c>
      <c r="C46" s="14" t="n">
        <v>1.86</v>
      </c>
      <c r="D46" s="2" t="inlineStr"/>
      <c r="E46" s="2" t="inlineStr">
        <is>
          <t>Nu = max(下限, 系数×Gz^(1/3))</t>
        </is>
      </c>
    </row>
    <row r="47">
      <c r="A47" s="9" t="inlineStr">
        <is>
          <t>关联式</t>
        </is>
      </c>
      <c r="B47" s="2" t="inlineStr">
        <is>
          <t>Shah 系数 0</t>
        </is>
      </c>
      <c r="C47" s="14" t="n">
        <v>24</v>
      </c>
      <c r="D47" s="2" t="inlineStr"/>
      <c r="E47" s="2" t="inlineStr">
        <is>
          <t>矩形槽 fRe 多项式</t>
        </is>
      </c>
    </row>
    <row r="48">
      <c r="A48" s="9" t="inlineStr">
        <is>
          <t>关联式</t>
        </is>
      </c>
      <c r="B48" s="2" t="inlineStr">
        <is>
          <t>Shah 系数 1</t>
        </is>
      </c>
      <c r="C48" s="15" t="n">
        <v>1.3553</v>
      </c>
      <c r="D48" s="2" t="inlineStr"/>
      <c r="E48" s="2" t="inlineStr">
        <is>
          <t>一次项，式中为减</t>
        </is>
      </c>
    </row>
    <row r="49">
      <c r="A49" s="9" t="inlineStr">
        <is>
          <t>关联式</t>
        </is>
      </c>
      <c r="B49" s="2" t="inlineStr">
        <is>
          <t>Shah 系数 2</t>
        </is>
      </c>
      <c r="C49" s="15" t="n">
        <v>1.9467</v>
      </c>
      <c r="D49" s="2" t="inlineStr"/>
      <c r="E49" s="2" t="inlineStr">
        <is>
          <t>二次项，式中为加</t>
        </is>
      </c>
    </row>
    <row r="50">
      <c r="A50" s="9" t="inlineStr">
        <is>
          <t>关联式</t>
        </is>
      </c>
      <c r="B50" s="2" t="inlineStr">
        <is>
          <t>Shah 系数 3</t>
        </is>
      </c>
      <c r="C50" s="15" t="n">
        <v>1.7012</v>
      </c>
      <c r="D50" s="2" t="inlineStr"/>
      <c r="E50" s="2" t="inlineStr">
        <is>
          <t>三次项，式中为减</t>
        </is>
      </c>
    </row>
    <row r="51">
      <c r="A51" s="9" t="inlineStr">
        <is>
          <t>关联式</t>
        </is>
      </c>
      <c r="B51" s="2" t="inlineStr">
        <is>
          <t>Shah 系数 4</t>
        </is>
      </c>
      <c r="C51" s="15" t="n">
        <v>0.9564</v>
      </c>
      <c r="D51" s="2" t="inlineStr"/>
      <c r="E51" s="2" t="inlineStr">
        <is>
          <t>四次项，式中为加</t>
        </is>
      </c>
    </row>
    <row r="52">
      <c r="A52" s="9" t="inlineStr">
        <is>
          <t>关联式</t>
        </is>
      </c>
      <c r="B52" s="2" t="inlineStr">
        <is>
          <t>Shah 系数 5</t>
        </is>
      </c>
      <c r="C52" s="15" t="n">
        <v>0.2537</v>
      </c>
      <c r="D52" s="2" t="inlineStr"/>
      <c r="E52" s="2" t="inlineStr">
        <is>
          <t>五次项，式中为减</t>
        </is>
      </c>
    </row>
    <row r="54">
      <c r="A54" s="9" t="inlineStr">
        <is>
          <t>对照</t>
        </is>
      </c>
      <c r="B54" s="2" t="inlineStr">
        <is>
          <t>用户顺流温差</t>
        </is>
      </c>
      <c r="C54" s="10" t="n">
        <v>16</v>
      </c>
      <c r="D54" s="2" t="inlineStr">
        <is>
          <t>°C</t>
        </is>
      </c>
      <c r="E54" s="2" t="inlineStr">
        <is>
          <t>用户给出，本表不改写</t>
        </is>
      </c>
    </row>
    <row r="55">
      <c r="A55" s="9" t="inlineStr">
        <is>
          <t>对照</t>
        </is>
      </c>
      <c r="B55" s="2" t="inlineStr">
        <is>
          <t>用户横流温差</t>
        </is>
      </c>
      <c r="C55" s="10" t="n">
        <v>8</v>
      </c>
      <c r="D55" s="2" t="inlineStr">
        <is>
          <t>°C</t>
        </is>
      </c>
      <c r="E55" s="2" t="inlineStr">
        <is>
          <t>用户给出，本表不改写</t>
        </is>
      </c>
    </row>
    <row r="56">
      <c r="A56" s="9" t="inlineStr">
        <is>
          <t>对照</t>
        </is>
      </c>
      <c r="B56" s="2" t="inlineStr">
        <is>
          <t>目标温差</t>
        </is>
      </c>
      <c r="C56" s="10" t="n">
        <v>5</v>
      </c>
      <c r="D56" s="2" t="inlineStr">
        <is>
          <t>°C</t>
        </is>
      </c>
      <c r="E56" s="2" t="inlineStr">
        <is>
          <t>上限，本文件不宣告达到</t>
        </is>
      </c>
    </row>
    <row r="57">
      <c r="A57" s="9" t="inlineStr">
        <is>
          <t>对照</t>
        </is>
      </c>
      <c r="B57" s="2" t="inlineStr">
        <is>
          <t>CFD 顺流面温跨度</t>
        </is>
      </c>
      <c r="C57" s="10" t="n">
        <v>11.7</v>
      </c>
      <c r="D57" s="2" t="inlineStr">
        <is>
          <t>K</t>
        </is>
      </c>
      <c r="E57" s="2" t="inlineStr">
        <is>
          <t>325.27 K 到 336.96 K</t>
        </is>
      </c>
    </row>
    <row r="58">
      <c r="A58" s="9" t="inlineStr">
        <is>
          <t>对照</t>
        </is>
      </c>
      <c r="B58" s="2" t="inlineStr">
        <is>
          <t>CFD 横流面温跨度</t>
        </is>
      </c>
      <c r="C58" s="10" t="n">
        <v>6.5</v>
      </c>
      <c r="D58" s="2" t="inlineStr">
        <is>
          <t>K</t>
        </is>
      </c>
      <c r="E58" s="2" t="inlineStr">
        <is>
          <t>iter-200，329.317 K 到 335.815 K</t>
        </is>
      </c>
    </row>
    <row r="59">
      <c r="A59" s="9" t="inlineStr">
        <is>
          <t>对照</t>
        </is>
      </c>
      <c r="B59" s="2" t="inlineStr">
        <is>
          <t>CFD 顺流最低</t>
        </is>
      </c>
      <c r="C59" s="14" t="n">
        <v>325.27</v>
      </c>
      <c r="D59" s="2" t="inlineStr">
        <is>
          <t>K</t>
        </is>
      </c>
      <c r="E59" s="2" t="inlineStr">
        <is>
          <t>TIM 面</t>
        </is>
      </c>
    </row>
    <row r="60">
      <c r="A60" s="9" t="inlineStr">
        <is>
          <t>对照</t>
        </is>
      </c>
      <c r="B60" s="2" t="inlineStr">
        <is>
          <t>CFD 顺流最高</t>
        </is>
      </c>
      <c r="C60" s="14" t="n">
        <v>336.96</v>
      </c>
      <c r="D60" s="2" t="inlineStr">
        <is>
          <t>K</t>
        </is>
      </c>
      <c r="E60" s="2" t="inlineStr">
        <is>
          <t>TIM 面</t>
        </is>
      </c>
    </row>
    <row r="61">
      <c r="A61" s="9" t="inlineStr">
        <is>
          <t>对照</t>
        </is>
      </c>
      <c r="B61" s="2" t="inlineStr">
        <is>
          <t>CFD 横流最低</t>
        </is>
      </c>
      <c r="C61" s="13" t="n">
        <v>329.317</v>
      </c>
      <c r="D61" s="2" t="inlineStr">
        <is>
          <t>K</t>
        </is>
      </c>
      <c r="E61" s="2" t="inlineStr">
        <is>
          <t>TIM 面，iter-200</t>
        </is>
      </c>
    </row>
    <row r="62">
      <c r="A62" s="9" t="inlineStr">
        <is>
          <t>对照</t>
        </is>
      </c>
      <c r="B62" s="2" t="inlineStr">
        <is>
          <t>CFD 横流最高</t>
        </is>
      </c>
      <c r="C62" s="13" t="n">
        <v>335.815</v>
      </c>
      <c r="D62" s="2" t="inlineStr">
        <is>
          <t>K</t>
        </is>
      </c>
      <c r="E62" s="2" t="inlineStr">
        <is>
          <t>TIM 面，iter-200</t>
        </is>
      </c>
    </row>
  </sheetData>
  <autoFilter ref="A4:E62"/>
  <mergeCells count="2">
    <mergeCell ref="A2:E2"/>
    <mergeCell ref="A1:E1"/>
  </mergeCells>
  <pageMargins left="0.5" right="0.5" top="0.65" bottom="0.55" header="0.25" footer="0.25"/>
  <pageSetup orientation="portrait" paperSize="9" fitToHeight="0" fitToWidth="1" horizontalDpi="300" verticalDpi="300"/>
  <headerFooter>
    <oddHeader>&amp;LHBM微通道冷板 1D 设计计算&amp;C输入&amp;R2026-09-29</oddHeader>
    <oddFooter>&amp;Lv1.0  单列四颗&amp;R第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A5A00"/>
    <outlinePr summaryBelow="1" summaryRight="1"/>
    <pageSetUpPr fitToPage="1"/>
  </sheetPr>
  <dimension ref="A1:D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56" customWidth="1" min="4" max="4"/>
  </cols>
  <sheetData>
    <row r="1" ht="28" customHeight="1">
      <c r="A1" s="1" t="inlineStr">
        <is>
          <t>尺寸链</t>
        </is>
      </c>
    </row>
    <row r="2" ht="32" customHeight="1">
      <c r="A2" s="3" t="inlineStr">
        <is>
          <t>岸、槽数、槽宽、肋宽都是输入。组成环之和用 SUM。岸宽没有用（列宽 − 槽 − 肋）/2 这种式子回写。差值为 0 才叫闭合。</t>
        </is>
      </c>
    </row>
    <row r="4">
      <c r="A4" s="16" t="inlineStr">
        <is>
          <t>方案 A / 方案 B / 顺流对照，同一条列宽链</t>
        </is>
      </c>
      <c r="B4" s="17" t="n"/>
      <c r="C4" s="17" t="n"/>
      <c r="D4" s="18" t="n"/>
    </row>
    <row r="5">
      <c r="A5" s="4" t="inlineStr">
        <is>
          <t>组成环</t>
        </is>
      </c>
      <c r="B5" s="4" t="inlineStr">
        <is>
          <t>mm</t>
        </is>
      </c>
      <c r="C5" s="4" t="inlineStr">
        <is>
          <t>公式</t>
        </is>
      </c>
      <c r="D5" s="4" t="inlineStr">
        <is>
          <t>说明</t>
        </is>
      </c>
    </row>
    <row r="6">
      <c r="A6" s="2" t="inlineStr">
        <is>
          <t>左岸</t>
        </is>
      </c>
      <c r="B6" s="6">
        <f>SectionAB_LandMm</f>
        <v/>
      </c>
      <c r="C6" s="2">
        <f>SectionAB_LandMm</f>
        <v/>
      </c>
      <c r="D6" s="2" t="inlineStr">
        <is>
          <t>独立输入</t>
        </is>
      </c>
    </row>
    <row r="7">
      <c r="A7" s="2" t="inlineStr">
        <is>
          <t>全部槽宽</t>
        </is>
      </c>
      <c r="B7" s="6">
        <f>SectionAB_ChannelCount*SectionAB_WidthMm</f>
        <v/>
      </c>
      <c r="C7" s="2">
        <f>SectionAB_ChannelCount*SectionAB_WidthMm</f>
        <v/>
      </c>
      <c r="D7" s="2" t="inlineStr">
        <is>
          <t>槽数 × 槽宽</t>
        </is>
      </c>
    </row>
    <row r="8">
      <c r="A8" s="2" t="inlineStr">
        <is>
          <t>全部肋宽</t>
        </is>
      </c>
      <c r="B8" s="6">
        <f>(SectionAB_ChannelCount-1)*SectionAB_RibMm</f>
        <v/>
      </c>
      <c r="C8" s="2">
        <f>(SectionAB_ChannelCount-1)*SectionAB_RibMm</f>
        <v/>
      </c>
      <c r="D8" s="2" t="inlineStr">
        <is>
          <t>(槽数−1) × 肋宽</t>
        </is>
      </c>
    </row>
    <row r="9">
      <c r="A9" s="2" t="inlineStr">
        <is>
          <t>右岸</t>
        </is>
      </c>
      <c r="B9" s="6">
        <f>SectionAB_LandMm</f>
        <v/>
      </c>
      <c r="C9" s="2">
        <f>SectionAB_LandMm</f>
        <v/>
      </c>
      <c r="D9" s="2" t="inlineStr">
        <is>
          <t>独立输入</t>
        </is>
      </c>
    </row>
    <row r="10">
      <c r="A10" s="4" t="inlineStr">
        <is>
          <t>组成环之和</t>
        </is>
      </c>
      <c r="B10" s="19">
        <f>SUM(B6:B9)</f>
        <v/>
      </c>
      <c r="C10" s="4">
        <f>SUM(B6:B9)</f>
        <v/>
      </c>
      <c r="D10" s="8" t="inlineStr">
        <is>
          <t>SUM，不是反推岸宽</t>
        </is>
      </c>
    </row>
    <row r="11">
      <c r="A11" s="2" t="inlineStr">
        <is>
          <t>封闭环 列宽</t>
        </is>
      </c>
      <c r="B11" s="6">
        <f>ColumnWidthMm</f>
        <v/>
      </c>
      <c r="C11" s="2">
        <f>ColumnWidthMm</f>
        <v/>
      </c>
      <c r="D11" s="2" t="inlineStr">
        <is>
          <t>11 mm</t>
        </is>
      </c>
    </row>
    <row r="12">
      <c r="A12" s="2" t="inlineStr">
        <is>
          <t>差值</t>
        </is>
      </c>
      <c r="B12" s="6">
        <f>B10-B11</f>
        <v/>
      </c>
      <c r="C12" s="2">
        <f>B10-B11</f>
        <v/>
      </c>
      <c r="D12" s="2" t="inlineStr">
        <is>
          <t>和 − 列宽</t>
        </is>
      </c>
    </row>
    <row r="13">
      <c r="A13" s="2" t="inlineStr">
        <is>
          <t>判定</t>
        </is>
      </c>
      <c r="B13" s="20">
        <f>IF(ABS(B12)&lt;0.0005,"闭合","不闭合")</f>
        <v/>
      </c>
      <c r="C13" s="2">
        <f>IF(ABS(B12)&lt;0.0005,"闭合","不闭合")</f>
        <v/>
      </c>
      <c r="D13" s="2" t="inlineStr">
        <is>
          <t>绝对值小于 0.0005 mm</t>
        </is>
      </c>
    </row>
    <row r="14">
      <c r="A14" s="2" t="inlineStr">
        <is>
          <t>算式</t>
        </is>
      </c>
      <c r="B14" s="2">
        <f>TEXT(SectionAB_LandMm,"0.000")&amp;"+"&amp;TEXT(SectionAB_ChannelCount,"0")&amp;"×"&amp;TEXT(SectionAB_WidthMm,"0.00")&amp;"+"&amp;TEXT(SectionAB_ChannelCount-1,"0")&amp;"×"&amp;TEXT(SectionAB_RibMm,"0.00")&amp;"+"&amp;TEXT(SectionAB_LandMm,"0.000")</f>
        <v/>
      </c>
      <c r="C14" s="17" t="n"/>
      <c r="D14" s="18" t="n"/>
    </row>
    <row r="15">
      <c r="A15" s="2" t="inlineStr">
        <is>
          <t>深宽比</t>
        </is>
      </c>
      <c r="B15" s="7">
        <f>ChannelHeightMm/SectionAB_WidthMm</f>
        <v/>
      </c>
      <c r="C15" s="2">
        <f>ChannelHeightMm/SectionAB_WidthMm</f>
        <v/>
      </c>
      <c r="D15" s="2" t="inlineStr">
        <is>
          <t>槽高 / 槽宽</t>
        </is>
      </c>
    </row>
    <row r="16">
      <c r="A16" s="2" t="inlineStr">
        <is>
          <t>深宽比判定</t>
        </is>
      </c>
      <c r="B16" s="2">
        <f>IF(B15&lt;AspectLimit,"低于上限",IF(ABS(B15-AspectLimit)&lt;0.001,"落在上限","超出上限"))</f>
        <v/>
      </c>
      <c r="C16" s="17" t="n"/>
      <c r="D16" s="18" t="n"/>
    </row>
    <row r="17">
      <c r="A17" s="2" t="inlineStr">
        <is>
          <t>肋宽判定</t>
        </is>
      </c>
      <c r="B17" s="2">
        <f>IF(SectionAB_RibMm&gt;=RibFloorMm,"不低于下限","低于下限")</f>
        <v/>
      </c>
      <c r="C17" s="17" t="n"/>
      <c r="D17" s="18" t="n"/>
    </row>
    <row r="18">
      <c r="A18" s="2" t="inlineStr">
        <is>
          <t>槽宽判定</t>
        </is>
      </c>
      <c r="B18" s="2">
        <f>IF(SectionAB_WidthMm&gt;=WidthFloorMm,"不低于下限","低于下限")</f>
        <v/>
      </c>
      <c r="C18" s="17" t="n"/>
      <c r="D18" s="18" t="n"/>
    </row>
    <row r="19">
      <c r="A19" s="2" t="inlineStr">
        <is>
          <t>岸宽判定</t>
        </is>
      </c>
      <c r="B19" s="2">
        <f>IF(SectionAB_LandMm&gt;=LandFloorMm,"不低于下限","低于下限")</f>
        <v/>
      </c>
      <c r="C19" s="17" t="n"/>
      <c r="D19" s="18" t="n"/>
    </row>
    <row r="20">
      <c r="A20" s="16" t="inlineStr">
        <is>
          <t>方案 C，采用截面的列宽链</t>
        </is>
      </c>
      <c r="B20" s="17" t="n"/>
      <c r="C20" s="17" t="n"/>
      <c r="D20" s="18" t="n"/>
    </row>
    <row r="21">
      <c r="A21" s="4" t="inlineStr">
        <is>
          <t>组成环</t>
        </is>
      </c>
      <c r="B21" s="4" t="inlineStr">
        <is>
          <t>mm</t>
        </is>
      </c>
      <c r="C21" s="4" t="inlineStr">
        <is>
          <t>公式</t>
        </is>
      </c>
      <c r="D21" s="4" t="inlineStr">
        <is>
          <t>说明</t>
        </is>
      </c>
    </row>
    <row r="22">
      <c r="A22" s="2" t="inlineStr">
        <is>
          <t>左岸</t>
        </is>
      </c>
      <c r="B22" s="6">
        <f>SectionC_LandMm</f>
        <v/>
      </c>
      <c r="C22" s="2">
        <f>SectionC_LandMm</f>
        <v/>
      </c>
      <c r="D22" s="2" t="inlineStr">
        <is>
          <t>独立输入</t>
        </is>
      </c>
    </row>
    <row r="23">
      <c r="A23" s="2" t="inlineStr">
        <is>
          <t>全部槽宽</t>
        </is>
      </c>
      <c r="B23" s="6">
        <f>SectionC_ChannelCount*SectionC_WidthMm</f>
        <v/>
      </c>
      <c r="C23" s="2">
        <f>SectionC_ChannelCount*SectionC_WidthMm</f>
        <v/>
      </c>
      <c r="D23" s="2" t="inlineStr">
        <is>
          <t>槽数 × 槽宽</t>
        </is>
      </c>
    </row>
    <row r="24">
      <c r="A24" s="2" t="inlineStr">
        <is>
          <t>全部肋宽</t>
        </is>
      </c>
      <c r="B24" s="6">
        <f>(SectionC_ChannelCount-1)*SectionC_RibMm</f>
        <v/>
      </c>
      <c r="C24" s="2">
        <f>(SectionC_ChannelCount-1)*SectionC_RibMm</f>
        <v/>
      </c>
      <c r="D24" s="2" t="inlineStr">
        <is>
          <t>(槽数−1) × 肋宽</t>
        </is>
      </c>
    </row>
    <row r="25">
      <c r="A25" s="2" t="inlineStr">
        <is>
          <t>右岸</t>
        </is>
      </c>
      <c r="B25" s="6">
        <f>SectionC_LandMm</f>
        <v/>
      </c>
      <c r="C25" s="2">
        <f>SectionC_LandMm</f>
        <v/>
      </c>
      <c r="D25" s="2" t="inlineStr">
        <is>
          <t>独立输入</t>
        </is>
      </c>
    </row>
    <row r="26">
      <c r="A26" s="4" t="inlineStr">
        <is>
          <t>组成环之和</t>
        </is>
      </c>
      <c r="B26" s="19">
        <f>SUM(B22:B25)</f>
        <v/>
      </c>
      <c r="C26" s="4">
        <f>SUM(B22:B25)</f>
        <v/>
      </c>
      <c r="D26" s="8" t="inlineStr">
        <is>
          <t>SUM，不是反推岸宽</t>
        </is>
      </c>
    </row>
    <row r="27">
      <c r="A27" s="2" t="inlineStr">
        <is>
          <t>封闭环 列宽</t>
        </is>
      </c>
      <c r="B27" s="6">
        <f>ColumnWidthMm</f>
        <v/>
      </c>
      <c r="C27" s="2">
        <f>ColumnWidthMm</f>
        <v/>
      </c>
      <c r="D27" s="2" t="inlineStr">
        <is>
          <t>11 mm</t>
        </is>
      </c>
    </row>
    <row r="28">
      <c r="A28" s="2" t="inlineStr">
        <is>
          <t>差值</t>
        </is>
      </c>
      <c r="B28" s="6">
        <f>B26-B27</f>
        <v/>
      </c>
      <c r="C28" s="2">
        <f>B26-B27</f>
        <v/>
      </c>
      <c r="D28" s="2" t="inlineStr">
        <is>
          <t>和 − 列宽</t>
        </is>
      </c>
    </row>
    <row r="29">
      <c r="A29" s="2" t="inlineStr">
        <is>
          <t>判定</t>
        </is>
      </c>
      <c r="B29" s="20">
        <f>IF(ABS(B28)&lt;0.0005,"闭合","不闭合")</f>
        <v/>
      </c>
      <c r="C29" s="2">
        <f>IF(ABS(B28)&lt;0.0005,"闭合","不闭合")</f>
        <v/>
      </c>
      <c r="D29" s="2" t="inlineStr">
        <is>
          <t>绝对值小于 0.0005 mm</t>
        </is>
      </c>
    </row>
    <row r="30">
      <c r="A30" s="2" t="inlineStr">
        <is>
          <t>算式</t>
        </is>
      </c>
      <c r="B30" s="2">
        <f>TEXT(SectionC_LandMm,"0.000")&amp;"+"&amp;TEXT(SectionC_ChannelCount,"0")&amp;"×"&amp;TEXT(SectionC_WidthMm,"0.00")&amp;"+"&amp;TEXT(SectionC_ChannelCount-1,"0")&amp;"×"&amp;TEXT(SectionC_RibMm,"0.00")&amp;"+"&amp;TEXT(SectionC_LandMm,"0.000")</f>
        <v/>
      </c>
      <c r="C30" s="17" t="n"/>
      <c r="D30" s="18" t="n"/>
    </row>
    <row r="31">
      <c r="A31" s="2" t="inlineStr">
        <is>
          <t>深宽比</t>
        </is>
      </c>
      <c r="B31" s="7">
        <f>ChannelHeightMm/SectionC_WidthMm</f>
        <v/>
      </c>
      <c r="C31" s="2">
        <f>ChannelHeightMm/SectionC_WidthMm</f>
        <v/>
      </c>
      <c r="D31" s="2" t="inlineStr">
        <is>
          <t>槽高 / 槽宽</t>
        </is>
      </c>
    </row>
    <row r="32">
      <c r="A32" s="2" t="inlineStr">
        <is>
          <t>深宽比判定</t>
        </is>
      </c>
      <c r="B32" s="2">
        <f>IF(B31&lt;AspectLimit,"低于上限",IF(ABS(B31-AspectLimit)&lt;0.001,"落在上限","超出上限"))</f>
        <v/>
      </c>
      <c r="C32" s="17" t="n"/>
      <c r="D32" s="18" t="n"/>
    </row>
    <row r="33">
      <c r="A33" s="2" t="inlineStr">
        <is>
          <t>肋宽判定</t>
        </is>
      </c>
      <c r="B33" s="2">
        <f>IF(SectionC_RibMm&gt;=RibFloorMm,"不低于下限","低于下限")</f>
        <v/>
      </c>
      <c r="C33" s="17" t="n"/>
      <c r="D33" s="18" t="n"/>
    </row>
    <row r="34">
      <c r="A34" s="2" t="inlineStr">
        <is>
          <t>槽宽判定</t>
        </is>
      </c>
      <c r="B34" s="2">
        <f>IF(SectionC_WidthMm&gt;=WidthFloorMm,"不低于下限","低于下限")</f>
        <v/>
      </c>
      <c r="C34" s="17" t="n"/>
      <c r="D34" s="18" t="n"/>
    </row>
    <row r="35">
      <c r="A35" s="2" t="inlineStr">
        <is>
          <t>岸宽判定</t>
        </is>
      </c>
      <c r="B35" s="2">
        <f>IF(SectionC_LandMm&gt;=LandFloorMm,"不低于下限","低于下限")</f>
        <v/>
      </c>
      <c r="C35" s="17" t="n"/>
      <c r="D35" s="18" t="n"/>
    </row>
    <row r="38">
      <c r="A38" s="16" t="inlineStr">
        <is>
          <t>列长、加热长、铜厚</t>
        </is>
      </c>
      <c r="B38" s="17" t="n"/>
      <c r="C38" s="17" t="n"/>
      <c r="D38" s="18" t="n"/>
    </row>
    <row r="39">
      <c r="A39" s="4" t="inlineStr">
        <is>
          <t>组成环</t>
        </is>
      </c>
      <c r="B39" s="4" t="inlineStr">
        <is>
          <t>mm</t>
        </is>
      </c>
      <c r="C39" s="4" t="inlineStr">
        <is>
          <t>公式</t>
        </is>
      </c>
      <c r="D39" s="4" t="inlineStr">
        <is>
          <t>说明</t>
        </is>
      </c>
    </row>
    <row r="40">
      <c r="A40" s="2" t="inlineStr">
        <is>
          <t>四颗高度</t>
        </is>
      </c>
      <c r="B40" s="6">
        <f>StackCount*StackHeightMm</f>
        <v/>
      </c>
      <c r="C40" s="2">
        <f>StackCount*StackHeightMm</f>
        <v/>
      </c>
      <c r="D40" s="2" t="inlineStr">
        <is>
          <t>颗数 × 单颗高度</t>
        </is>
      </c>
    </row>
    <row r="41">
      <c r="A41" s="2" t="inlineStr">
        <is>
          <t>三处间隙</t>
        </is>
      </c>
      <c r="B41" s="6">
        <f>(StackCount-1)*StackGapMm</f>
        <v/>
      </c>
      <c r="C41" s="2">
        <f>(StackCount-1)*StackGapMm</f>
        <v/>
      </c>
      <c r="D41" s="2" t="inlineStr">
        <is>
          <t>间隙不加热</t>
        </is>
      </c>
    </row>
    <row r="42">
      <c r="A42" s="4" t="inlineStr">
        <is>
          <t>列长之和</t>
        </is>
      </c>
      <c r="B42" s="6">
        <f>SUM(B40:B41)</f>
        <v/>
      </c>
      <c r="C42" s="2">
        <f>SUM(B40:B41)</f>
        <v/>
      </c>
      <c r="D42" s="2" t="inlineStr">
        <is>
          <t>SUM</t>
        </is>
      </c>
    </row>
    <row r="43">
      <c r="A43" s="2" t="inlineStr">
        <is>
          <t>列长封闭环</t>
        </is>
      </c>
      <c r="B43" s="6">
        <f>ColumnLengthMm</f>
        <v/>
      </c>
      <c r="C43" s="2">
        <f>ColumnLengthMm</f>
        <v/>
      </c>
      <c r="D43" s="2" t="inlineStr">
        <is>
          <t>50 mm</t>
        </is>
      </c>
    </row>
    <row r="44">
      <c r="A44" s="2" t="inlineStr">
        <is>
          <t>列长差值</t>
        </is>
      </c>
      <c r="B44" s="6">
        <f>B42-B43</f>
        <v/>
      </c>
      <c r="C44" s="2">
        <f>B42-B43</f>
        <v/>
      </c>
      <c r="D44" s="2" t="inlineStr">
        <is>
          <t>和 − 封闭环</t>
        </is>
      </c>
    </row>
    <row r="45">
      <c r="A45" s="2" t="inlineStr">
        <is>
          <t>加热长度</t>
        </is>
      </c>
      <c r="B45" s="6">
        <f>StackCount*StackHeightMm</f>
        <v/>
      </c>
      <c r="C45" s="2">
        <f>StackCount*StackHeightMm</f>
        <v/>
      </c>
      <c r="D45" s="2" t="inlineStr">
        <is>
          <t>只有四颗</t>
        </is>
      </c>
    </row>
    <row r="46">
      <c r="A46" s="2" t="inlineStr">
        <is>
          <t>加热封闭环</t>
        </is>
      </c>
      <c r="B46" s="6">
        <f>HeatedLengthMm</f>
        <v/>
      </c>
      <c r="C46" s="2">
        <f>HeatedLengthMm</f>
        <v/>
      </c>
      <c r="D46" s="2" t="inlineStr">
        <is>
          <t>44 mm</t>
        </is>
      </c>
    </row>
    <row r="47">
      <c r="A47" s="2" t="inlineStr">
        <is>
          <t>加热差值</t>
        </is>
      </c>
      <c r="B47" s="6">
        <f>B45-B46</f>
        <v/>
      </c>
      <c r="C47" s="2">
        <f>B45-B46</f>
        <v/>
      </c>
      <c r="D47" s="2" t="inlineStr">
        <is>
          <t>和 − 封闭环</t>
        </is>
      </c>
    </row>
    <row r="48">
      <c r="A48" s="2" t="inlineStr">
        <is>
          <t>底铜</t>
        </is>
      </c>
      <c r="B48" s="6">
        <f>BaseCopperMm</f>
        <v/>
      </c>
      <c r="C48" s="2">
        <f>BaseCopperMm</f>
        <v/>
      </c>
      <c r="D48" s="2" t="inlineStr">
        <is>
          <t>独立输入</t>
        </is>
      </c>
    </row>
    <row r="49">
      <c r="A49" s="2" t="inlineStr">
        <is>
          <t>槽高</t>
        </is>
      </c>
      <c r="B49" s="6">
        <f>ChannelHeightMm</f>
        <v/>
      </c>
      <c r="C49" s="2">
        <f>ChannelHeightMm</f>
        <v/>
      </c>
      <c r="D49" s="2" t="inlineStr">
        <is>
          <t>独立输入</t>
        </is>
      </c>
    </row>
    <row r="50">
      <c r="A50" s="2" t="inlineStr">
        <is>
          <t>盖板</t>
        </is>
      </c>
      <c r="B50" s="6">
        <f>LidCopperMm</f>
        <v/>
      </c>
      <c r="C50" s="2">
        <f>LidCopperMm</f>
        <v/>
      </c>
      <c r="D50" s="2" t="inlineStr">
        <is>
          <t>独立输入</t>
        </is>
      </c>
    </row>
    <row r="51">
      <c r="A51" s="4" t="inlineStr">
        <is>
          <t>铜厚之和</t>
        </is>
      </c>
      <c r="B51" s="6">
        <f>SUM(B48:B50)</f>
        <v/>
      </c>
      <c r="C51" s="2">
        <f>SUM(B48:B50)</f>
        <v/>
      </c>
      <c r="D51" s="2" t="inlineStr">
        <is>
          <t>SUM</t>
        </is>
      </c>
    </row>
    <row r="52">
      <c r="A52" s="2" t="inlineStr">
        <is>
          <t>铜厚封闭环</t>
        </is>
      </c>
      <c r="B52" s="6">
        <f>HbmStackMm</f>
        <v/>
      </c>
      <c r="C52" s="2">
        <f>HbmStackMm</f>
        <v/>
      </c>
      <c r="D52" s="2" t="inlineStr">
        <is>
          <t>8.0 mm，与 GPU 外形 8.5 mm 不是一条栈</t>
        </is>
      </c>
    </row>
    <row r="53">
      <c r="A53" s="2" t="inlineStr">
        <is>
          <t>铜厚差值</t>
        </is>
      </c>
      <c r="B53" s="6">
        <f>B51-B52</f>
        <v/>
      </c>
      <c r="C53" s="2">
        <f>B51-B52</f>
        <v/>
      </c>
      <c r="D53" s="2" t="inlineStr">
        <is>
          <t>和 − 封闭环</t>
        </is>
      </c>
    </row>
    <row r="54">
      <c r="A54" s="3" t="inlineStr">
        <is>
          <t>槽宽 0.40 mm 的深宽比</t>
        </is>
      </c>
      <c r="B54" s="21">
        <f>ChannelHeightMm/WidthFloorMm</f>
        <v/>
      </c>
      <c r="C54" s="3">
        <f>ChannelHeightMm/WidthFloorMm</f>
        <v/>
      </c>
      <c r="D54" s="3" t="inlineStr">
        <is>
          <t>等于上限 5.0，本版不采用这条槽宽</t>
        </is>
      </c>
    </row>
  </sheetData>
  <mergeCells count="15">
    <mergeCell ref="B33:D33"/>
    <mergeCell ref="A1:D1"/>
    <mergeCell ref="B19:D19"/>
    <mergeCell ref="B14:D14"/>
    <mergeCell ref="A4:D4"/>
    <mergeCell ref="A20:D20"/>
    <mergeCell ref="B32:D32"/>
    <mergeCell ref="B35:D35"/>
    <mergeCell ref="B17:D17"/>
    <mergeCell ref="B18:D18"/>
    <mergeCell ref="A38:D38"/>
    <mergeCell ref="B30:D30"/>
    <mergeCell ref="A2:D2"/>
    <mergeCell ref="B16:D16"/>
    <mergeCell ref="B34:D34"/>
  </mergeCells>
  <pageMargins left="0.5" right="0.5" top="0.65" bottom="0.55" header="0.25" footer="0.25"/>
  <pageSetup orientation="landscape" paperSize="9" fitToHeight="0" fitToWidth="1" horizontalDpi="300" verticalDpi="300"/>
  <headerFooter>
    <oddHeader>&amp;LHBM微通道冷板 1D 设计计算&amp;R2026-09-29</oddHeader>
    <oddFooter>&amp;Lv1.0  单列四颗&amp;R第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D6B3A"/>
    <outlinePr summaryBelow="1" summaryRight="1"/>
    <pageSetUpPr fitToPage="1"/>
  </sheetPr>
  <dimension ref="A1:E39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6" customWidth="1" min="4" max="4"/>
    <col width="62" customWidth="1" min="5" max="5"/>
  </cols>
  <sheetData>
    <row r="1" ht="28" customHeight="1">
      <c r="A1" s="1" t="inlineStr">
        <is>
          <t>体平均水力与换热</t>
        </is>
      </c>
    </row>
    <row r="2" ht="32" customHeight="1">
      <c r="A2" s="3" t="inlineStr">
        <is>
          <t>本表全部是公式。方案 A、方案 B、顺流对照共用 B 列截面。方案 C 在 C 列。中心进水不改变 B24 的整列流体温升；支路温升在第 31 行，与整列温升相同。</t>
        </is>
      </c>
    </row>
    <row r="4">
      <c r="A4" s="4" t="inlineStr">
        <is>
          <t>量</t>
        </is>
      </c>
      <c r="B4" s="4" t="inlineStr">
        <is>
          <t>截面 A/B</t>
        </is>
      </c>
      <c r="C4" s="4" t="inlineStr">
        <is>
          <t>截面 C</t>
        </is>
      </c>
      <c r="D4" s="4" t="inlineStr">
        <is>
          <t>单位</t>
        </is>
      </c>
      <c r="E4" s="4" t="inlineStr">
        <is>
          <t>说明</t>
        </is>
      </c>
    </row>
    <row r="5">
      <c r="A5" s="2" t="inlineStr">
        <is>
          <t>槽数</t>
        </is>
      </c>
      <c r="B5" s="22">
        <f>SectionAB_ChannelCount</f>
        <v/>
      </c>
      <c r="C5" s="22">
        <f>SectionC_ChannelCount</f>
        <v/>
      </c>
      <c r="D5" s="2" t="inlineStr"/>
      <c r="E5" s="2" t="inlineStr">
        <is>
          <t>输入</t>
        </is>
      </c>
    </row>
    <row r="6">
      <c r="A6" s="2" t="inlineStr">
        <is>
          <t>槽宽</t>
        </is>
      </c>
      <c r="B6" s="23">
        <f>SectionAB_WidthMm/1000</f>
        <v/>
      </c>
      <c r="C6" s="23">
        <f>SectionC_WidthMm/1000</f>
        <v/>
      </c>
      <c r="D6" s="2" t="inlineStr">
        <is>
          <t>m</t>
        </is>
      </c>
      <c r="E6" s="2" t="inlineStr">
        <is>
          <t>mm 除以 1000</t>
        </is>
      </c>
    </row>
    <row r="7">
      <c r="A7" s="2" t="inlineStr">
        <is>
          <t>肋宽</t>
        </is>
      </c>
      <c r="B7" s="23">
        <f>SectionAB_RibMm/1000</f>
        <v/>
      </c>
      <c r="C7" s="23">
        <f>SectionC_RibMm/1000</f>
        <v/>
      </c>
      <c r="D7" s="2" t="inlineStr">
        <is>
          <t>m</t>
        </is>
      </c>
      <c r="E7" s="2" t="inlineStr">
        <is>
          <t>mm 除以 1000</t>
        </is>
      </c>
    </row>
    <row r="8">
      <c r="A8" s="2" t="inlineStr">
        <is>
          <t>槽高</t>
        </is>
      </c>
      <c r="B8" s="23">
        <f>ChannelHeightMm/1000</f>
        <v/>
      </c>
      <c r="C8" s="23">
        <f>ChannelHeightMm/1000</f>
        <v/>
      </c>
      <c r="D8" s="2" t="inlineStr">
        <is>
          <t>m</t>
        </is>
      </c>
      <c r="E8" s="2" t="inlineStr">
        <is>
          <t>两套截面同高</t>
        </is>
      </c>
    </row>
    <row r="9">
      <c r="A9" s="2" t="inlineStr">
        <is>
          <t>加热长度</t>
        </is>
      </c>
      <c r="B9" s="23">
        <f>HeatedLengthMm/1000</f>
        <v/>
      </c>
      <c r="C9" s="23">
        <f>HeatedLengthMm/1000</f>
        <v/>
      </c>
      <c r="D9" s="2" t="inlineStr">
        <is>
          <t>m</t>
        </is>
      </c>
      <c r="E9" s="2" t="inlineStr">
        <is>
          <t>Hausen 用这段长度</t>
        </is>
      </c>
    </row>
    <row r="10">
      <c r="A10" s="2" t="inlineStr">
        <is>
          <t>列长</t>
        </is>
      </c>
      <c r="B10" s="23">
        <f>ColumnLengthMm/1000</f>
        <v/>
      </c>
      <c r="C10" s="23">
        <f>ColumnLengthMm/1000</f>
        <v/>
      </c>
      <c r="D10" s="2" t="inlineStr">
        <is>
          <t>m</t>
        </is>
      </c>
      <c r="E10" s="2" t="inlineStr">
        <is>
          <t>直槽压降用这段长度</t>
        </is>
      </c>
    </row>
    <row r="11">
      <c r="A11" s="2" t="inlineStr">
        <is>
          <t>质量流量</t>
        </is>
      </c>
      <c r="B11" s="23">
        <f>FluidDensity*FlowRateLpm/60000</f>
        <v/>
      </c>
      <c r="C11" s="23">
        <f>FluidDensity*FlowRateLpm/60000</f>
        <v/>
      </c>
      <c r="D11" s="2" t="inlineStr">
        <is>
          <t>kg/s</t>
        </is>
      </c>
      <c r="E11" s="2" t="inlineStr">
        <is>
          <t>L/min 换成 kg/s</t>
        </is>
      </c>
    </row>
    <row r="12">
      <c r="A12" s="2" t="inlineStr">
        <is>
          <t>单槽流通面积</t>
        </is>
      </c>
      <c r="B12" s="24">
        <f>B6*B8</f>
        <v/>
      </c>
      <c r="C12" s="24">
        <f>C6*C8</f>
        <v/>
      </c>
      <c r="D12" s="2" t="inlineStr">
        <is>
          <t>m²</t>
        </is>
      </c>
      <c r="E12" s="2" t="inlineStr">
        <is>
          <t>宽 × 高</t>
        </is>
      </c>
    </row>
    <row r="13">
      <c r="A13" s="2" t="inlineStr">
        <is>
          <t>满槽流速</t>
        </is>
      </c>
      <c r="B13" s="5">
        <f>B11/B5/(FluidDensity*B12)</f>
        <v/>
      </c>
      <c r="C13" s="5">
        <f>C11/C5/(FluidDensity*C12)</f>
        <v/>
      </c>
      <c r="D13" s="2" t="inlineStr">
        <is>
          <t>m/s</t>
        </is>
      </c>
      <c r="E13" s="2" t="inlineStr">
        <is>
          <t>流速上限看这一行</t>
        </is>
      </c>
    </row>
    <row r="14">
      <c r="A14" s="2" t="inlineStr">
        <is>
          <t>水力直径</t>
        </is>
      </c>
      <c r="B14" s="23">
        <f>2*B6*B8/(B6+B8)</f>
        <v/>
      </c>
      <c r="C14" s="23">
        <f>2*C6*C8/(C6+C8)</f>
        <v/>
      </c>
      <c r="D14" s="2" t="inlineStr">
        <is>
          <t>m</t>
        </is>
      </c>
      <c r="E14" s="2" t="inlineStr">
        <is>
          <t>2wh/(w+h)</t>
        </is>
      </c>
    </row>
    <row r="15">
      <c r="A15" s="2" t="inlineStr">
        <is>
          <t>雷诺数</t>
        </is>
      </c>
      <c r="B15" s="7">
        <f>FluidDensity*B13*B14/FluidViscosity</f>
        <v/>
      </c>
      <c r="C15" s="7">
        <f>FluidDensity*C13*C14/FluidViscosity</f>
        <v/>
      </c>
      <c r="D15" s="2" t="inlineStr"/>
      <c r="E15" s="2" t="inlineStr">
        <is>
          <t>满槽</t>
        </is>
      </c>
    </row>
    <row r="16">
      <c r="A16" s="2" t="inlineStr">
        <is>
          <t>普朗特数</t>
        </is>
      </c>
      <c r="B16" s="6">
        <f>FluidViscosity*FluidSpecificHeat/FluidConductivity</f>
        <v/>
      </c>
      <c r="C16" s="6">
        <f>FluidViscosity*FluidSpecificHeat/FluidConductivity</f>
        <v/>
      </c>
      <c r="D16" s="2" t="inlineStr"/>
      <c r="E16" s="2" t="inlineStr">
        <is>
          <t>40 °C 水</t>
        </is>
      </c>
    </row>
    <row r="17">
      <c r="A17" s="2" t="inlineStr">
        <is>
          <t>格雷兹数</t>
        </is>
      </c>
      <c r="B17" s="7">
        <f>B14/B9*B15*B16</f>
        <v/>
      </c>
      <c r="C17" s="7">
        <f>C14/C9*C15*C16</f>
        <v/>
      </c>
      <c r="D17" s="2" t="inlineStr"/>
      <c r="E17" s="2" t="inlineStr">
        <is>
          <t>Dh/L×Re×Pr，L 为加热长</t>
        </is>
      </c>
    </row>
    <row r="18">
      <c r="A18" s="4" t="inlineStr">
        <is>
          <t>努塞尔数</t>
        </is>
      </c>
      <c r="B18" s="6">
        <f>MAX(NuFullyDeveloped,HausenCoefficient*POWER(B17,1/3))</f>
        <v/>
      </c>
      <c r="C18" s="6">
        <f>MAX(NuFullyDeveloped,HausenCoefficient*POWER(C17,1/3))</f>
        <v/>
      </c>
      <c r="D18" s="2" t="inlineStr"/>
      <c r="E18" s="2" t="inlineStr">
        <is>
          <t>Hausen，下限 4</t>
        </is>
      </c>
    </row>
    <row r="19">
      <c r="A19" s="4" t="inlineStr">
        <is>
          <t>换热系数</t>
        </is>
      </c>
      <c r="B19" s="25">
        <f>B18*FluidConductivity/B14</f>
        <v/>
      </c>
      <c r="C19" s="25">
        <f>C18*FluidConductivity/C14</f>
        <v/>
      </c>
      <c r="D19" s="2" t="inlineStr">
        <is>
          <t>W/(m²·K)</t>
        </is>
      </c>
      <c r="E19" s="2" t="inlineStr">
        <is>
          <t>Nu×k/Dh</t>
        </is>
      </c>
    </row>
    <row r="20">
      <c r="A20" s="2" t="inlineStr">
        <is>
          <t>肋参数</t>
        </is>
      </c>
      <c r="B20" s="7">
        <f>SQRT(2*B19/(CopperConductivity*B7))</f>
        <v/>
      </c>
      <c r="C20" s="7">
        <f>SQRT(2*C19/(CopperConductivity*C7))</f>
        <v/>
      </c>
      <c r="D20" s="2" t="inlineStr">
        <is>
          <t>1/m</t>
        </is>
      </c>
      <c r="E20" s="2" t="inlineStr">
        <is>
          <t>直肋</t>
        </is>
      </c>
    </row>
    <row r="21">
      <c r="A21" s="4" t="inlineStr">
        <is>
          <t>肋效率</t>
        </is>
      </c>
      <c r="B21" s="6">
        <f>TANH(B20*B8)/(B20*B8)</f>
        <v/>
      </c>
      <c r="C21" s="6">
        <f>TANH(C20*C8)/(C20*C8)</f>
        <v/>
      </c>
      <c r="D21" s="2" t="inlineStr"/>
      <c r="E21" s="2" t="inlineStr">
        <is>
          <t>tanh(mH)/(mH)</t>
        </is>
      </c>
    </row>
    <row r="22">
      <c r="A22" s="2" t="inlineStr">
        <is>
          <t>每米有效换热长度</t>
        </is>
      </c>
      <c r="B22" s="23">
        <f>2*B6+2*B8*B21</f>
        <v/>
      </c>
      <c r="C22" s="23">
        <f>2*C6+2*C8*C21</f>
        <v/>
      </c>
      <c r="D22" s="2" t="inlineStr">
        <is>
          <t>m/m</t>
        </is>
      </c>
      <c r="E22" s="2" t="inlineStr">
        <is>
          <t>底+盖+两侧肋</t>
        </is>
      </c>
    </row>
    <row r="23">
      <c r="A23" s="2" t="inlineStr">
        <is>
          <t>UA</t>
        </is>
      </c>
      <c r="B23" s="6">
        <f>B5*B19*B22*B9</f>
        <v/>
      </c>
      <c r="C23" s="6">
        <f>C5*C19*C22*C9</f>
        <v/>
      </c>
      <c r="D23" s="2" t="inlineStr">
        <is>
          <t>W/K</t>
        </is>
      </c>
      <c r="E23" s="2" t="inlineStr">
        <is>
          <t>整列加热段</t>
        </is>
      </c>
    </row>
    <row r="24">
      <c r="A24" s="4" t="inlineStr">
        <is>
          <t>流体温升</t>
        </is>
      </c>
      <c r="B24" s="6">
        <f>HeatPowerW/(B11*FluidSpecificHeat)</f>
        <v/>
      </c>
      <c r="C24" s="6">
        <f>HeatPowerW/(C11*FluidSpecificHeat)</f>
        <v/>
      </c>
      <c r="D24" s="2" t="inlineStr">
        <is>
          <t>K</t>
        </is>
      </c>
      <c r="E24" s="2" t="inlineStr">
        <is>
          <t>整列，与流向无关</t>
        </is>
      </c>
    </row>
    <row r="25">
      <c r="A25" s="4" t="inlineStr">
        <is>
          <t>对流温差</t>
        </is>
      </c>
      <c r="B25" s="6">
        <f>HeatPowerW/B23</f>
        <v/>
      </c>
      <c r="C25" s="6">
        <f>HeatPowerW/C23</f>
        <v/>
      </c>
      <c r="D25" s="2" t="inlineStr">
        <is>
          <t>K</t>
        </is>
      </c>
      <c r="E25" s="2" t="inlineStr">
        <is>
          <t>功率 / UA</t>
        </is>
      </c>
    </row>
    <row r="26">
      <c r="A26" s="2" t="inlineStr">
        <is>
          <t>出口壁面抬升</t>
        </is>
      </c>
      <c r="B26" s="6">
        <f>B25+B24</f>
        <v/>
      </c>
      <c r="C26" s="6">
        <f>C25+C24</f>
        <v/>
      </c>
      <c r="D26" s="2" t="inlineStr">
        <is>
          <t>K</t>
        </is>
      </c>
      <c r="E26" s="2" t="inlineStr">
        <is>
          <t>相对入口，体平均闭合</t>
        </is>
      </c>
    </row>
    <row r="27">
      <c r="A27" s="2" t="inlineStr">
        <is>
          <t>截面长短边比</t>
        </is>
      </c>
      <c r="B27" s="6">
        <f>MIN(B6,B8)/MAX(B6,B8)</f>
        <v/>
      </c>
      <c r="C27" s="6">
        <f>MIN(C6,C8)/MAX(C6,C8)</f>
        <v/>
      </c>
      <c r="D27" s="2" t="inlineStr"/>
      <c r="E27" s="2" t="inlineStr">
        <is>
          <t>Shah 多项式的 a</t>
        </is>
      </c>
    </row>
    <row r="28">
      <c r="A28" s="2" t="inlineStr">
        <is>
          <t>范宁 fRe</t>
        </is>
      </c>
      <c r="B28" s="6">
        <f>ShahCoef0*(1-ShahCoef1*B27+ShahCoef2*B27^2-ShahCoef3*B27^3+ShahCoef4*B27^4-ShahCoef5*B27^5)</f>
        <v/>
      </c>
      <c r="C28" s="6">
        <f>ShahCoef0*(1-ShahCoef1*C27+ShahCoef2*C27^2-ShahCoef3*C27^3+ShahCoef4*C27^4-ShahCoef5*C27^5)</f>
        <v/>
      </c>
      <c r="D28" s="2" t="inlineStr"/>
      <c r="E28" s="2" t="inlineStr">
        <is>
          <t>Shah–London</t>
        </is>
      </c>
    </row>
    <row r="29">
      <c r="A29" s="4" t="inlineStr">
        <is>
          <t>直槽压降</t>
        </is>
      </c>
      <c r="B29" s="7">
        <f>B28*FluidViscosity*B10*B13/(2*B14^2)</f>
        <v/>
      </c>
      <c r="C29" s="7">
        <f>C28*FluidViscosity*C10*C13/(2*C14^2)</f>
        <v/>
      </c>
      <c r="D29" s="2" t="inlineStr">
        <is>
          <t>Pa</t>
        </is>
      </c>
      <c r="E29" s="2" t="inlineStr">
        <is>
          <t>满槽流速，列长 50 mm</t>
        </is>
      </c>
    </row>
    <row r="30">
      <c r="A30" s="2" t="inlineStr">
        <is>
          <t>支路流速</t>
        </is>
      </c>
      <c r="B30" s="5">
        <f>B13/2</f>
        <v/>
      </c>
      <c r="C30" s="5">
        <f>C13/2</f>
        <v/>
      </c>
      <c r="D30" s="2" t="inlineStr">
        <is>
          <t>m/s</t>
        </is>
      </c>
      <c r="E30" s="2" t="inlineStr">
        <is>
          <t>中心进水每支，低于满槽</t>
        </is>
      </c>
    </row>
    <row r="31">
      <c r="A31" s="2" t="inlineStr">
        <is>
          <t>支路流体温升</t>
        </is>
      </c>
      <c r="B31" s="6">
        <f>(HeatPowerW/B5/2)/((B11/B5/2)*FluidSpecificHeat)</f>
        <v/>
      </c>
      <c r="C31" s="6">
        <f>(HeatPowerW/C5/2)/((C11/C5/2)*FluidSpecificHeat)</f>
        <v/>
      </c>
      <c r="D31" s="2" t="inlineStr">
        <is>
          <t>K</t>
        </is>
      </c>
      <c r="E31" s="2" t="inlineStr">
        <is>
          <t>半热量、半流量，结果等于整列温升</t>
        </is>
      </c>
    </row>
    <row r="32">
      <c r="A32" s="2" t="inlineStr">
        <is>
          <t>支路减整列</t>
        </is>
      </c>
      <c r="B32" s="6">
        <f>B31-B24</f>
        <v/>
      </c>
      <c r="C32" s="6">
        <f>C31-C24</f>
        <v/>
      </c>
      <c r="D32" s="2" t="inlineStr">
        <is>
          <t>K</t>
        </is>
      </c>
      <c r="E32" s="2" t="inlineStr">
        <is>
          <t>应为 0</t>
        </is>
      </c>
    </row>
    <row r="33">
      <c r="A33" s="2" t="inlineStr">
        <is>
          <t>半程直槽压降</t>
        </is>
      </c>
      <c r="B33" s="7">
        <f>B28*FluidViscosity*(B10/2)*B30/(2*B14^2)</f>
        <v/>
      </c>
      <c r="C33" s="7">
        <f>C28*FluidViscosity*(C10/2)*C30/(2*C14^2)</f>
        <v/>
      </c>
      <c r="D33" s="2" t="inlineStr">
        <is>
          <t>Pa</t>
        </is>
      </c>
      <c r="E33" s="2" t="inlineStr">
        <is>
          <t>半长、半流速</t>
        </is>
      </c>
    </row>
    <row r="34">
      <c r="A34" s="2" t="inlineStr">
        <is>
          <t>假定分流压降</t>
        </is>
      </c>
      <c r="B34" s="7">
        <f>SplitLossK*FluidDensity*B30^2/2</f>
        <v/>
      </c>
      <c r="C34" s="7">
        <f>SplitLossK*FluidDensity*C30^2/2</f>
        <v/>
      </c>
      <c r="D34" s="2" t="inlineStr">
        <is>
          <t>Pa</t>
        </is>
      </c>
      <c r="E34" s="2" t="inlineStr">
        <is>
          <t>K=1.5 是假定</t>
        </is>
      </c>
    </row>
    <row r="35">
      <c r="A35" s="2" t="inlineStr">
        <is>
          <t>并联取较大</t>
        </is>
      </c>
      <c r="B35" s="7">
        <f>MAX(B29,B33+B34)</f>
        <v/>
      </c>
      <c r="C35" s="7">
        <f>MAX(C29,C33+C34)</f>
        <v/>
      </c>
      <c r="D35" s="2" t="inlineStr">
        <is>
          <t>Pa</t>
        </is>
      </c>
      <c r="E35" s="2" t="inlineStr">
        <is>
          <t>侧槽直槽与中心支路取大</t>
        </is>
      </c>
    </row>
    <row r="36">
      <c r="A36" s="2" t="inlineStr">
        <is>
          <t>热流密度</t>
        </is>
      </c>
      <c r="B36" s="22">
        <f>HeatPowerW/((ColumnWidthMm/1000)*B9)</f>
        <v/>
      </c>
      <c r="C36" s="22">
        <f>HeatPowerW/((ColumnWidthMm/1000)*C9)</f>
        <v/>
      </c>
      <c r="D36" s="2" t="inlineStr">
        <is>
          <t>W/m²</t>
        </is>
      </c>
      <c r="E36" s="2" t="inlineStr">
        <is>
          <t>功率 / (列宽×加热长)</t>
        </is>
      </c>
    </row>
    <row r="37">
      <c r="A37" s="2" t="inlineStr">
        <is>
          <t>TIM 温降</t>
        </is>
      </c>
      <c r="B37" s="6">
        <f>B36*(TimThicknessMm/1000)/TimConductivity</f>
        <v/>
      </c>
      <c r="C37" s="6">
        <f>C36*(TimThicknessMm/1000)/TimConductivity</f>
        <v/>
      </c>
      <c r="D37" s="2" t="inlineStr">
        <is>
          <t>K</t>
        </is>
      </c>
      <c r="E37" s="2" t="inlineStr">
        <is>
          <t>均匀热流，各点相同</t>
        </is>
      </c>
    </row>
    <row r="38">
      <c r="A38" s="2" t="inlineStr">
        <is>
          <t>深宽比</t>
        </is>
      </c>
      <c r="B38" s="7">
        <f>ChannelHeightMm/SectionAB_WidthMm</f>
        <v/>
      </c>
      <c r="C38" s="7">
        <f>ChannelHeightMm/SectionC_WidthMm</f>
        <v/>
      </c>
      <c r="D38" s="2" t="inlineStr"/>
      <c r="E38" s="2" t="inlineStr">
        <is>
          <t>工艺上限 5</t>
        </is>
      </c>
    </row>
    <row r="39">
      <c r="A39" s="2" t="inlineStr">
        <is>
          <t>流速判定</t>
        </is>
      </c>
      <c r="B39" s="26">
        <f>IF(B13&lt;=VelocityCapMs,"低于上限","超过上限")</f>
        <v/>
      </c>
      <c r="C39" s="26">
        <f>IF(C13&lt;=VelocityCapMs,"低于上限","超过上限")</f>
        <v/>
      </c>
      <c r="D39" s="2" t="inlineStr"/>
      <c r="E39" s="2" t="inlineStr">
        <is>
          <t>比较的是满槽流速</t>
        </is>
      </c>
    </row>
  </sheetData>
  <autoFilter ref="A4:E39"/>
  <mergeCells count="2">
    <mergeCell ref="A2:E2"/>
    <mergeCell ref="A1:E1"/>
  </mergeCells>
  <pageMargins left="0.5" right="0.5" top="0.65" bottom="0.55" header="0.25" footer="0.25"/>
  <pageSetup orientation="landscape" paperSize="9" fitToHeight="0" fitToWidth="1" horizontalDpi="300" verticalDpi="300"/>
  <headerFooter>
    <oddHeader>&amp;LHBM微通道冷板 1D 设计计算&amp;R2026-09-29</oddHeader>
    <oddFooter>&amp;Lv1.0  单列四颗&amp;R第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9D1C1C"/>
    <outlinePr summaryBelow="1" summaryRight="1"/>
    <pageSetUpPr fitToPage="1"/>
  </sheetPr>
  <dimension ref="A1:K41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2" customWidth="1" min="11" max="11"/>
  </cols>
  <sheetData>
    <row r="1" ht="28" customHeight="1">
      <c r="A1" s="1" t="inlineStr">
        <is>
          <t>分段网络温度</t>
        </is>
      </c>
    </row>
    <row r="2" ht="48" customHeight="1">
      <c r="A2" s="3" t="inlineStr">
        <is>
          <t>铜温是数值，来自同目录 hbm_1d_schemes_20260929.py 的一维铜—流体网络：ny=50，6400 步。3200 步到 6400 步，四个方案的平均温度和场温差变化都小于 0.001 °C。改蓝色输入不会自动改这些铜温。TIM 底面 = 铜温 + TimDropC，温差本身不变。</t>
        </is>
      </c>
    </row>
    <row r="4">
      <c r="A4" s="4" t="inlineStr">
        <is>
          <t>方案</t>
        </is>
      </c>
      <c r="B4" s="4" t="inlineStr">
        <is>
          <t>位置</t>
        </is>
      </c>
      <c r="C4" s="4" t="inlineStr">
        <is>
          <t>铜最低</t>
        </is>
      </c>
      <c r="D4" s="4" t="inlineStr">
        <is>
          <t>铜平均</t>
        </is>
      </c>
      <c r="E4" s="4" t="inlineStr">
        <is>
          <t>铜最高</t>
        </is>
      </c>
      <c r="F4" s="4" t="inlineStr">
        <is>
          <t>铜温差</t>
        </is>
      </c>
      <c r="G4" s="4" t="inlineStr">
        <is>
          <t>TIM最低</t>
        </is>
      </c>
      <c r="H4" s="4" t="inlineStr">
        <is>
          <t>TIM平均</t>
        </is>
      </c>
      <c r="I4" s="4" t="inlineStr">
        <is>
          <t>TIM最高</t>
        </is>
      </c>
      <c r="J4" s="4" t="inlineStr">
        <is>
          <t>TIM温差</t>
        </is>
      </c>
      <c r="K4" s="4" t="inlineStr">
        <is>
          <t>说明</t>
        </is>
      </c>
    </row>
    <row r="5">
      <c r="A5" s="27" t="inlineStr">
        <is>
          <t>顺流对照</t>
        </is>
      </c>
      <c r="B5" s="27" t="inlineStr">
        <is>
          <t>受热全场</t>
        </is>
      </c>
      <c r="C5" s="6" t="n">
        <v>46.9473067691277</v>
      </c>
      <c r="D5" s="6" t="n">
        <v>53.74514717546727</v>
      </c>
      <c r="E5" s="6" t="n">
        <v>59.4860535398395</v>
      </c>
      <c r="F5" s="6">
        <f>E5-C5</f>
        <v/>
      </c>
      <c r="G5" s="6">
        <f>C5+TimDropC</f>
        <v/>
      </c>
      <c r="H5" s="6">
        <f>D5+TimDropC</f>
        <v/>
      </c>
      <c r="I5" s="6">
        <f>E5+TimDropC</f>
        <v/>
      </c>
      <c r="J5" s="6">
        <f>I5-G5</f>
        <v/>
      </c>
      <c r="K5" s="2" t="inlineStr">
        <is>
          <t>保留截面，七槽同向</t>
        </is>
      </c>
    </row>
    <row r="6">
      <c r="A6" s="2" t="inlineStr">
        <is>
          <t>顺流对照</t>
        </is>
      </c>
      <c r="B6" s="2" t="inlineStr">
        <is>
          <t>第1颗 Y0–11</t>
        </is>
      </c>
      <c r="C6" s="6" t="n">
        <v>46.9473067691277</v>
      </c>
      <c r="D6" s="6" t="n">
        <v>48.26990163267136</v>
      </c>
      <c r="E6" s="6" t="n">
        <v>49.53005298795277</v>
      </c>
      <c r="F6" s="6">
        <f>E6-C6</f>
        <v/>
      </c>
      <c r="G6" s="6">
        <f>C6+TimDropC</f>
        <v/>
      </c>
      <c r="H6" s="6">
        <f>D6+TimDropC</f>
        <v/>
      </c>
      <c r="I6" s="6">
        <f>E6+TimDropC</f>
        <v/>
      </c>
      <c r="J6" s="6">
        <f>I6-G6</f>
        <v/>
      </c>
      <c r="K6" s="2" t="inlineStr">
        <is>
          <t>单颗内部</t>
        </is>
      </c>
    </row>
    <row r="7">
      <c r="A7" s="2" t="inlineStr">
        <is>
          <t>顺流对照</t>
        </is>
      </c>
      <c r="B7" s="2" t="inlineStr">
        <is>
          <t>第2颗 Y13–24</t>
        </is>
      </c>
      <c r="C7" s="6" t="n">
        <v>50.47430667990345</v>
      </c>
      <c r="D7" s="6" t="n">
        <v>52.21577842203094</v>
      </c>
      <c r="E7" s="6" t="n">
        <v>53.45296719964674</v>
      </c>
      <c r="F7" s="6">
        <f>E7-C7</f>
        <v/>
      </c>
      <c r="G7" s="6">
        <f>C7+TimDropC</f>
        <v/>
      </c>
      <c r="H7" s="6">
        <f>D7+TimDropC</f>
        <v/>
      </c>
      <c r="I7" s="6">
        <f>E7+TimDropC</f>
        <v/>
      </c>
      <c r="J7" s="6">
        <f>I7-G7</f>
        <v/>
      </c>
      <c r="K7" s="2" t="inlineStr">
        <is>
          <t>单颗内部</t>
        </is>
      </c>
    </row>
    <row r="8">
      <c r="A8" s="2" t="inlineStr">
        <is>
          <t>顺流对照</t>
        </is>
      </c>
      <c r="B8" s="2" t="inlineStr">
        <is>
          <t>第3颗 Y26–37</t>
        </is>
      </c>
      <c r="C8" s="6" t="n">
        <v>54.25555726605374</v>
      </c>
      <c r="D8" s="6" t="n">
        <v>55.76527628631793</v>
      </c>
      <c r="E8" s="6" t="n">
        <v>56.77379830020156</v>
      </c>
      <c r="F8" s="6">
        <f>E8-C8</f>
        <v/>
      </c>
      <c r="G8" s="6">
        <f>C8+TimDropC</f>
        <v/>
      </c>
      <c r="H8" s="6">
        <f>D8+TimDropC</f>
        <v/>
      </c>
      <c r="I8" s="6">
        <f>E8+TimDropC</f>
        <v/>
      </c>
      <c r="J8" s="6">
        <f>I8-G8</f>
        <v/>
      </c>
      <c r="K8" s="2" t="inlineStr">
        <is>
          <t>单颗内部</t>
        </is>
      </c>
    </row>
    <row r="9">
      <c r="A9" s="2" t="inlineStr">
        <is>
          <t>顺流对照</t>
        </is>
      </c>
      <c r="B9" s="2" t="inlineStr">
        <is>
          <t>第4颗 Y39–50</t>
        </is>
      </c>
      <c r="C9" s="6" t="n">
        <v>57.44697535659389</v>
      </c>
      <c r="D9" s="6" t="n">
        <v>58.72963236084886</v>
      </c>
      <c r="E9" s="6" t="n">
        <v>59.4860535398395</v>
      </c>
      <c r="F9" s="6">
        <f>E9-C9</f>
        <v/>
      </c>
      <c r="G9" s="6">
        <f>C9+TimDropC</f>
        <v/>
      </c>
      <c r="H9" s="6">
        <f>D9+TimDropC</f>
        <v/>
      </c>
      <c r="I9" s="6">
        <f>E9+TimDropC</f>
        <v/>
      </c>
      <c r="J9" s="6">
        <f>I9-G9</f>
        <v/>
      </c>
      <c r="K9" s="2" t="inlineStr">
        <is>
          <t>单颗内部</t>
        </is>
      </c>
    </row>
    <row r="10">
      <c r="A10" s="2" t="inlineStr">
        <is>
          <t>顺流对照</t>
        </is>
      </c>
      <c r="B10" s="2" t="inlineStr">
        <is>
          <t>四颗平均跨度</t>
        </is>
      </c>
      <c r="C10" s="2" t="n"/>
      <c r="D10" s="6">
        <f>MAX(D6,D7,D8,D9)-MIN(D6,D7,D8,D9)</f>
        <v/>
      </c>
      <c r="E10" s="2" t="n"/>
      <c r="F10" s="6">
        <f>D10</f>
        <v/>
      </c>
      <c r="G10" s="6">
        <f>D10</f>
        <v/>
      </c>
      <c r="H10" s="6">
        <f>D10</f>
        <v/>
      </c>
      <c r="I10" s="6">
        <f>D10</f>
        <v/>
      </c>
      <c r="J10" s="6">
        <f>D10</f>
        <v/>
      </c>
      <c r="K10" s="2" t="inlineStr">
        <is>
          <t>四颗平均温度的最大减最小，TIM 不改变跨度</t>
        </is>
      </c>
    </row>
    <row r="12">
      <c r="A12" s="27" t="inlineStr">
        <is>
          <t>方案 A</t>
        </is>
      </c>
      <c r="B12" s="27" t="inlineStr">
        <is>
          <t>受热全场</t>
        </is>
      </c>
      <c r="C12" s="6" t="n">
        <v>50.62414669899329</v>
      </c>
      <c r="D12" s="6" t="n">
        <v>53.45531673252292</v>
      </c>
      <c r="E12" s="6" t="n">
        <v>54.89938032338627</v>
      </c>
      <c r="F12" s="6">
        <f>E12-C12</f>
        <v/>
      </c>
      <c r="G12" s="6">
        <f>C12+TimDropC</f>
        <v/>
      </c>
      <c r="H12" s="6">
        <f>D12+TimDropC</f>
        <v/>
      </c>
      <c r="I12" s="6">
        <f>E12+TimDropC</f>
        <v/>
      </c>
      <c r="J12" s="6">
        <f>I12-G12</f>
        <v/>
      </c>
      <c r="K12" s="2" t="inlineStr">
        <is>
          <t>保留横流</t>
        </is>
      </c>
    </row>
    <row r="13">
      <c r="A13" s="2" t="inlineStr">
        <is>
          <t>方案 A</t>
        </is>
      </c>
      <c r="B13" s="2" t="inlineStr">
        <is>
          <t>第1颗 Y0–11</t>
        </is>
      </c>
      <c r="C13" s="6" t="n">
        <v>52.29283294266107</v>
      </c>
      <c r="D13" s="6" t="n">
        <v>53.2092347160432</v>
      </c>
      <c r="E13" s="6" t="n">
        <v>53.76274856138218</v>
      </c>
      <c r="F13" s="6">
        <f>E13-C13</f>
        <v/>
      </c>
      <c r="G13" s="6">
        <f>C13+TimDropC</f>
        <v/>
      </c>
      <c r="H13" s="6">
        <f>D13+TimDropC</f>
        <v/>
      </c>
      <c r="I13" s="6">
        <f>E13+TimDropC</f>
        <v/>
      </c>
      <c r="J13" s="6">
        <f>I13-G13</f>
        <v/>
      </c>
      <c r="K13" s="2" t="inlineStr">
        <is>
          <t>单颗内部</t>
        </is>
      </c>
    </row>
    <row r="14">
      <c r="A14" s="2" t="inlineStr">
        <is>
          <t>方案 A</t>
        </is>
      </c>
      <c r="B14" s="2" t="inlineStr">
        <is>
          <t>第2颗 Y13–24</t>
        </is>
      </c>
      <c r="C14" s="6" t="n">
        <v>54.08638601177103</v>
      </c>
      <c r="D14" s="6" t="n">
        <v>54.65760282261164</v>
      </c>
      <c r="E14" s="6" t="n">
        <v>54.89938032338627</v>
      </c>
      <c r="F14" s="6">
        <f>E14-C14</f>
        <v/>
      </c>
      <c r="G14" s="6">
        <f>C14+TimDropC</f>
        <v/>
      </c>
      <c r="H14" s="6">
        <f>D14+TimDropC</f>
        <v/>
      </c>
      <c r="I14" s="6">
        <f>E14+TimDropC</f>
        <v/>
      </c>
      <c r="J14" s="6">
        <f>I14-G14</f>
        <v/>
      </c>
      <c r="K14" s="2" t="inlineStr">
        <is>
          <t>单颗内部</t>
        </is>
      </c>
    </row>
    <row r="15">
      <c r="A15" s="2" t="inlineStr">
        <is>
          <t>方案 A</t>
        </is>
      </c>
      <c r="B15" s="2" t="inlineStr">
        <is>
          <t>第3颗 Y26–37</t>
        </is>
      </c>
      <c r="C15" s="6" t="n">
        <v>53.18966060766779</v>
      </c>
      <c r="D15" s="6" t="n">
        <v>54.15547432326053</v>
      </c>
      <c r="E15" s="6" t="n">
        <v>54.56104480863516</v>
      </c>
      <c r="F15" s="6">
        <f>E15-C15</f>
        <v/>
      </c>
      <c r="G15" s="6">
        <f>C15+TimDropC</f>
        <v/>
      </c>
      <c r="H15" s="6">
        <f>D15+TimDropC</f>
        <v/>
      </c>
      <c r="I15" s="6">
        <f>E15+TimDropC</f>
        <v/>
      </c>
      <c r="J15" s="6">
        <f>I15-G15</f>
        <v/>
      </c>
      <c r="K15" s="2" t="inlineStr">
        <is>
          <t>单颗内部</t>
        </is>
      </c>
    </row>
    <row r="16">
      <c r="A16" s="2" t="inlineStr">
        <is>
          <t>方案 A</t>
        </is>
      </c>
      <c r="B16" s="2" t="inlineStr">
        <is>
          <t>第4颗 Y39–50</t>
        </is>
      </c>
      <c r="C16" s="6" t="n">
        <v>50.62414669899329</v>
      </c>
      <c r="D16" s="6" t="n">
        <v>51.79895506817637</v>
      </c>
      <c r="E16" s="6" t="n">
        <v>52.67970420068862</v>
      </c>
      <c r="F16" s="6">
        <f>E16-C16</f>
        <v/>
      </c>
      <c r="G16" s="6">
        <f>C16+TimDropC</f>
        <v/>
      </c>
      <c r="H16" s="6">
        <f>D16+TimDropC</f>
        <v/>
      </c>
      <c r="I16" s="6">
        <f>E16+TimDropC</f>
        <v/>
      </c>
      <c r="J16" s="6">
        <f>I16-G16</f>
        <v/>
      </c>
      <c r="K16" s="2" t="inlineStr">
        <is>
          <t>单颗内部</t>
        </is>
      </c>
    </row>
    <row r="17">
      <c r="A17" s="2" t="inlineStr">
        <is>
          <t>方案 A</t>
        </is>
      </c>
      <c r="B17" s="2" t="inlineStr">
        <is>
          <t>四颗平均跨度</t>
        </is>
      </c>
      <c r="C17" s="2" t="n"/>
      <c r="D17" s="6">
        <f>MAX(D13,D14,D15,D16)-MIN(D13,D14,D15,D16)</f>
        <v/>
      </c>
      <c r="E17" s="2" t="n"/>
      <c r="F17" s="6">
        <f>D17</f>
        <v/>
      </c>
      <c r="G17" s="6">
        <f>D17</f>
        <v/>
      </c>
      <c r="H17" s="6">
        <f>D17</f>
        <v/>
      </c>
      <c r="I17" s="6">
        <f>D17</f>
        <v/>
      </c>
      <c r="J17" s="6">
        <f>D17</f>
        <v/>
      </c>
      <c r="K17" s="2" t="inlineStr">
        <is>
          <t>四颗平均温度的最大减最小，TIM 不改变跨度</t>
        </is>
      </c>
    </row>
    <row r="19">
      <c r="A19" s="27" t="inlineStr">
        <is>
          <t>方案 B</t>
        </is>
      </c>
      <c r="B19" s="27" t="inlineStr">
        <is>
          <t>受热全场</t>
        </is>
      </c>
      <c r="C19" s="6" t="n">
        <v>51.66460620615872</v>
      </c>
      <c r="D19" s="6" t="n">
        <v>53.49181421048058</v>
      </c>
      <c r="E19" s="6" t="n">
        <v>54.32477383767976</v>
      </c>
      <c r="F19" s="6">
        <f>E19-C19</f>
        <v/>
      </c>
      <c r="G19" s="6">
        <f>C19+TimDropC</f>
        <v/>
      </c>
      <c r="H19" s="6">
        <f>D19+TimDropC</f>
        <v/>
      </c>
      <c r="I19" s="6">
        <f>E19+TimDropC</f>
        <v/>
      </c>
      <c r="J19" s="6">
        <f>I19-G19</f>
        <v/>
      </c>
      <c r="K19" s="2" t="inlineStr">
        <is>
          <t>同截面，中间三槽中心进水</t>
        </is>
      </c>
    </row>
    <row r="20">
      <c r="A20" s="2" t="inlineStr">
        <is>
          <t>方案 B</t>
        </is>
      </c>
      <c r="B20" s="2" t="inlineStr">
        <is>
          <t>第1颗 Y0–11</t>
        </is>
      </c>
      <c r="C20" s="6" t="n">
        <v>53.62838028096873</v>
      </c>
      <c r="D20" s="6" t="n">
        <v>53.99973043652378</v>
      </c>
      <c r="E20" s="6" t="n">
        <v>54.2269078198574</v>
      </c>
      <c r="F20" s="6">
        <f>E20-C20</f>
        <v/>
      </c>
      <c r="G20" s="6">
        <f>C20+TimDropC</f>
        <v/>
      </c>
      <c r="H20" s="6">
        <f>D20+TimDropC</f>
        <v/>
      </c>
      <c r="I20" s="6">
        <f>E20+TimDropC</f>
        <v/>
      </c>
      <c r="J20" s="6">
        <f>I20-G20</f>
        <v/>
      </c>
      <c r="K20" s="2" t="inlineStr">
        <is>
          <t>单颗内部</t>
        </is>
      </c>
    </row>
    <row r="21">
      <c r="A21" s="2" t="inlineStr">
        <is>
          <t>方案 B</t>
        </is>
      </c>
      <c r="B21" s="2" t="inlineStr">
        <is>
          <t>第2颗 Y13–24</t>
        </is>
      </c>
      <c r="C21" s="6" t="n">
        <v>51.66460620615872</v>
      </c>
      <c r="D21" s="6" t="n">
        <v>52.96676074225287</v>
      </c>
      <c r="E21" s="6" t="n">
        <v>53.55924199812299</v>
      </c>
      <c r="F21" s="6">
        <f>E21-C21</f>
        <v/>
      </c>
      <c r="G21" s="6">
        <f>C21+TimDropC</f>
        <v/>
      </c>
      <c r="H21" s="6">
        <f>D21+TimDropC</f>
        <v/>
      </c>
      <c r="I21" s="6">
        <f>E21+TimDropC</f>
        <v/>
      </c>
      <c r="J21" s="6">
        <f>I21-G21</f>
        <v/>
      </c>
      <c r="K21" s="2" t="inlineStr">
        <is>
          <t>单颗内部</t>
        </is>
      </c>
    </row>
    <row r="22">
      <c r="A22" s="2" t="inlineStr">
        <is>
          <t>方案 B</t>
        </is>
      </c>
      <c r="B22" s="2" t="inlineStr">
        <is>
          <t>第3颗 Y26–37</t>
        </is>
      </c>
      <c r="C22" s="6" t="n">
        <v>51.66760639538772</v>
      </c>
      <c r="D22" s="6" t="n">
        <v>52.97030138513313</v>
      </c>
      <c r="E22" s="6" t="n">
        <v>53.54958769231955</v>
      </c>
      <c r="F22" s="6">
        <f>E22-C22</f>
        <v/>
      </c>
      <c r="G22" s="6">
        <f>C22+TimDropC</f>
        <v/>
      </c>
      <c r="H22" s="6">
        <f>D22+TimDropC</f>
        <v/>
      </c>
      <c r="I22" s="6">
        <f>E22+TimDropC</f>
        <v/>
      </c>
      <c r="J22" s="6">
        <f>I22-G22</f>
        <v/>
      </c>
      <c r="K22" s="2" t="inlineStr">
        <is>
          <t>单颗内部</t>
        </is>
      </c>
    </row>
    <row r="23">
      <c r="A23" s="2" t="inlineStr">
        <is>
          <t>方案 B</t>
        </is>
      </c>
      <c r="B23" s="2" t="inlineStr">
        <is>
          <t>第4颗 Y39–50</t>
        </is>
      </c>
      <c r="C23" s="6" t="n">
        <v>53.42517905593857</v>
      </c>
      <c r="D23" s="6" t="n">
        <v>54.0304642780126</v>
      </c>
      <c r="E23" s="6" t="n">
        <v>54.32477383767976</v>
      </c>
      <c r="F23" s="6">
        <f>E23-C23</f>
        <v/>
      </c>
      <c r="G23" s="6">
        <f>C23+TimDropC</f>
        <v/>
      </c>
      <c r="H23" s="6">
        <f>D23+TimDropC</f>
        <v/>
      </c>
      <c r="I23" s="6">
        <f>E23+TimDropC</f>
        <v/>
      </c>
      <c r="J23" s="6">
        <f>I23-G23</f>
        <v/>
      </c>
      <c r="K23" s="2" t="inlineStr">
        <is>
          <t>单颗内部</t>
        </is>
      </c>
    </row>
    <row r="24">
      <c r="A24" s="2" t="inlineStr">
        <is>
          <t>方案 B</t>
        </is>
      </c>
      <c r="B24" s="2" t="inlineStr">
        <is>
          <t>四颗平均跨度</t>
        </is>
      </c>
      <c r="C24" s="2" t="n"/>
      <c r="D24" s="6">
        <f>MAX(D20,D21,D22,D23)-MIN(D20,D21,D22,D23)</f>
        <v/>
      </c>
      <c r="E24" s="2" t="n"/>
      <c r="F24" s="6">
        <f>D24</f>
        <v/>
      </c>
      <c r="G24" s="6">
        <f>D24</f>
        <v/>
      </c>
      <c r="H24" s="6">
        <f>D24</f>
        <v/>
      </c>
      <c r="I24" s="6">
        <f>D24</f>
        <v/>
      </c>
      <c r="J24" s="6">
        <f>D24</f>
        <v/>
      </c>
      <c r="K24" s="2" t="inlineStr">
        <is>
          <t>四颗平均温度的最大减最小，TIM 不改变跨度</t>
        </is>
      </c>
    </row>
    <row r="26">
      <c r="A26" s="28" t="inlineStr">
        <is>
          <t>方案 C</t>
        </is>
      </c>
      <c r="B26" s="28" t="inlineStr">
        <is>
          <t>受热全场</t>
        </is>
      </c>
      <c r="C26" s="29" t="n">
        <v>49.33010473482561</v>
      </c>
      <c r="D26" s="29" t="n">
        <v>50.22355637559269</v>
      </c>
      <c r="E26" s="29" t="n">
        <v>50.67402046397962</v>
      </c>
      <c r="F26" s="29">
        <f>E26-C26</f>
        <v/>
      </c>
      <c r="G26" s="29">
        <f>C26+TimDropC</f>
        <v/>
      </c>
      <c r="H26" s="29">
        <f>D26+TimDropC</f>
        <v/>
      </c>
      <c r="I26" s="29">
        <f>E26+TimDropC</f>
        <v/>
      </c>
      <c r="J26" s="29">
        <f>I26-G26</f>
        <v/>
      </c>
      <c r="K26" s="30" t="inlineStr">
        <is>
          <t>采用：中心进水 + 0.45/0.50 截面</t>
        </is>
      </c>
    </row>
    <row r="27">
      <c r="A27" s="30" t="inlineStr">
        <is>
          <t>方案 C</t>
        </is>
      </c>
      <c r="B27" s="30" t="inlineStr">
        <is>
          <t>第1颗 Y0–11</t>
        </is>
      </c>
      <c r="C27" s="29" t="n">
        <v>49.49317878049624</v>
      </c>
      <c r="D27" s="29" t="n">
        <v>50.14192775017151</v>
      </c>
      <c r="E27" s="29" t="n">
        <v>50.47935015203024</v>
      </c>
      <c r="F27" s="29">
        <f>E27-C27</f>
        <v/>
      </c>
      <c r="G27" s="29">
        <f>C27+TimDropC</f>
        <v/>
      </c>
      <c r="H27" s="29">
        <f>D27+TimDropC</f>
        <v/>
      </c>
      <c r="I27" s="29">
        <f>E27+TimDropC</f>
        <v/>
      </c>
      <c r="J27" s="29">
        <f>I27-G27</f>
        <v/>
      </c>
      <c r="K27" s="30" t="inlineStr">
        <is>
          <t>单颗内部</t>
        </is>
      </c>
    </row>
    <row r="28">
      <c r="A28" s="30" t="inlineStr">
        <is>
          <t>方案 C</t>
        </is>
      </c>
      <c r="B28" s="30" t="inlineStr">
        <is>
          <t>第2颗 Y13–24</t>
        </is>
      </c>
      <c r="C28" s="29" t="n">
        <v>49.33078222068058</v>
      </c>
      <c r="D28" s="29" t="n">
        <v>50.30542445570347</v>
      </c>
      <c r="E28" s="29" t="n">
        <v>50.67402046397962</v>
      </c>
      <c r="F28" s="29">
        <f>E28-C28</f>
        <v/>
      </c>
      <c r="G28" s="29">
        <f>C28+TimDropC</f>
        <v/>
      </c>
      <c r="H28" s="29">
        <f>D28+TimDropC</f>
        <v/>
      </c>
      <c r="I28" s="29">
        <f>E28+TimDropC</f>
        <v/>
      </c>
      <c r="J28" s="29">
        <f>I28-G28</f>
        <v/>
      </c>
      <c r="K28" s="30" t="inlineStr">
        <is>
          <t>单颗内部</t>
        </is>
      </c>
    </row>
    <row r="29">
      <c r="A29" s="30" t="inlineStr">
        <is>
          <t>方案 C</t>
        </is>
      </c>
      <c r="B29" s="30" t="inlineStr">
        <is>
          <t>第3颗 Y26–37</t>
        </is>
      </c>
      <c r="C29" s="29" t="n">
        <v>49.33311224733613</v>
      </c>
      <c r="D29" s="29" t="n">
        <v>50.30102465264525</v>
      </c>
      <c r="E29" s="29" t="n">
        <v>50.62793568167297</v>
      </c>
      <c r="F29" s="29">
        <f>E29-C29</f>
        <v/>
      </c>
      <c r="G29" s="29">
        <f>C29+TimDropC</f>
        <v/>
      </c>
      <c r="H29" s="29">
        <f>D29+TimDropC</f>
        <v/>
      </c>
      <c r="I29" s="29">
        <f>E29+TimDropC</f>
        <v/>
      </c>
      <c r="J29" s="29">
        <f>I29-G29</f>
        <v/>
      </c>
      <c r="K29" s="30" t="inlineStr">
        <is>
          <t>单颗内部</t>
        </is>
      </c>
    </row>
    <row r="30">
      <c r="A30" s="30" t="inlineStr">
        <is>
          <t>方案 C</t>
        </is>
      </c>
      <c r="B30" s="30" t="inlineStr">
        <is>
          <t>第4颗 Y39–50</t>
        </is>
      </c>
      <c r="C30" s="29" t="n">
        <v>49.33010473482561</v>
      </c>
      <c r="D30" s="29" t="n">
        <v>50.14584864385056</v>
      </c>
      <c r="E30" s="29" t="n">
        <v>50.51383501447413</v>
      </c>
      <c r="F30" s="29">
        <f>E30-C30</f>
        <v/>
      </c>
      <c r="G30" s="29">
        <f>C30+TimDropC</f>
        <v/>
      </c>
      <c r="H30" s="29">
        <f>D30+TimDropC</f>
        <v/>
      </c>
      <c r="I30" s="29">
        <f>E30+TimDropC</f>
        <v/>
      </c>
      <c r="J30" s="29">
        <f>I30-G30</f>
        <v/>
      </c>
      <c r="K30" s="30" t="inlineStr">
        <is>
          <t>单颗内部</t>
        </is>
      </c>
    </row>
    <row r="31">
      <c r="A31" s="30" t="inlineStr">
        <is>
          <t>方案 C</t>
        </is>
      </c>
      <c r="B31" s="30" t="inlineStr">
        <is>
          <t>四颗平均跨度</t>
        </is>
      </c>
      <c r="C31" s="30" t="n"/>
      <c r="D31" s="29">
        <f>MAX(D27,D28,D29,D30)-MIN(D27,D28,D29,D30)</f>
        <v/>
      </c>
      <c r="E31" s="30" t="n"/>
      <c r="F31" s="29">
        <f>D31</f>
        <v/>
      </c>
      <c r="G31" s="29">
        <f>D31</f>
        <v/>
      </c>
      <c r="H31" s="29">
        <f>D31</f>
        <v/>
      </c>
      <c r="I31" s="29">
        <f>D31</f>
        <v/>
      </c>
      <c r="J31" s="29">
        <f>D31</f>
        <v/>
      </c>
      <c r="K31" s="30" t="inlineStr">
        <is>
          <t>四颗平均温度的最大减最小，TIM 不改变跨度</t>
        </is>
      </c>
    </row>
    <row r="34">
      <c r="A34" s="16" t="inlineStr">
        <is>
          <t>5 °C 的筛选读数</t>
        </is>
      </c>
      <c r="B34" s="17" t="n"/>
      <c r="C34" s="17" t="n"/>
      <c r="D34" s="17" t="n"/>
      <c r="E34" s="17" t="n"/>
      <c r="F34" s="18" t="n"/>
    </row>
    <row r="35">
      <c r="A35" s="4" t="inlineStr">
        <is>
          <t>读数</t>
        </is>
      </c>
      <c r="B35" s="4" t="inlineStr">
        <is>
          <t>结果 °C</t>
        </is>
      </c>
      <c r="C35" s="4" t="inlineStr">
        <is>
          <t>公式所在</t>
        </is>
      </c>
      <c r="D35" s="4" t="inlineStr">
        <is>
          <t>说明</t>
        </is>
      </c>
    </row>
    <row r="36">
      <c r="A36" s="2" t="inlineStr">
        <is>
          <t>原始一维场温差</t>
        </is>
      </c>
      <c r="B36" s="6">
        <f>SchemeCFieldDt</f>
        <v/>
      </c>
      <c r="C36" s="2">
        <f>SchemeCFieldDt</f>
        <v/>
      </c>
      <c r="D36" s="2" t="inlineStr">
        <is>
          <t>方案 C 受热铜节点最高减最低</t>
        </is>
      </c>
      <c r="E36" s="17" t="n"/>
      <c r="F36" s="18" t="n"/>
    </row>
    <row r="37">
      <c r="A37" s="2" t="inlineStr">
        <is>
          <t>比值读数</t>
        </is>
      </c>
      <c r="B37" s="6">
        <f>UserCrossSpanC*SchemeCFieldDt/SchemeAFieldDt</f>
        <v/>
      </c>
      <c r="C37" s="2">
        <f>UserCrossSpanC*SchemeCFieldDt/SchemeAFieldDt</f>
        <v/>
      </c>
      <c r="D37" s="2" t="inlineStr">
        <is>
          <t>用户横流 8 °C ×（方案 C 一维温差 / 方案 A 一维温差）</t>
        </is>
      </c>
      <c r="E37" s="17" t="n"/>
      <c r="F37" s="18" t="n"/>
    </row>
    <row r="38">
      <c r="A38" s="2" t="inlineStr">
        <is>
          <t>CFD 偏差读数</t>
        </is>
      </c>
      <c r="B38" s="6">
        <f>SchemeCFieldDt+(CfdCrossSpanK-SchemeAFieldDt)</f>
        <v/>
      </c>
      <c r="C38" s="2">
        <f>SchemeCFieldDt+(CfdCrossSpanK-SchemeAFieldDt)</f>
        <v/>
      </c>
      <c r="D38" s="2" t="inlineStr">
        <is>
          <t>方案 C 一维温差 +（横流 CFD 跨度 6.5 K − 方案 A 一维温差）</t>
        </is>
      </c>
      <c r="E38" s="17" t="n"/>
      <c r="F38" s="18" t="n"/>
    </row>
    <row r="39">
      <c r="A39" s="2" t="inlineStr">
        <is>
          <t>直线斜率</t>
        </is>
      </c>
      <c r="B39" s="6">
        <f>(UserCoflowSpanC-UserCrossSpanC)/(CoflowFieldDt-SchemeAFieldDt)</f>
        <v/>
      </c>
      <c r="C39" s="2">
        <f>(UserCoflowSpanC-UserCrossSpanC)/(CoflowFieldDt-SchemeAFieldDt)</f>
        <v/>
      </c>
      <c r="D39" s="2" t="inlineStr">
        <is>
          <t>只用用户 16 °C、8 °C 对顺流和横流的一维场温差</t>
        </is>
      </c>
      <c r="E39" s="17" t="n"/>
      <c r="F39" s="18" t="n"/>
    </row>
    <row r="40">
      <c r="A40" s="2" t="inlineStr">
        <is>
          <t>直线截距</t>
        </is>
      </c>
      <c r="B40" s="6">
        <f>UserCrossSpanC-B39*SchemeAFieldDt</f>
        <v/>
      </c>
      <c r="C40" s="2">
        <f>UserCrossSpanC-B39*SchemeAFieldDt</f>
        <v/>
      </c>
      <c r="D40" s="2" t="inlineStr">
        <is>
          <t>过用户横流这一点</t>
        </is>
      </c>
      <c r="E40" s="17" t="n"/>
      <c r="F40" s="18" t="n"/>
    </row>
    <row r="41">
      <c r="A41" s="3" t="inlineStr">
        <is>
          <t>直线映射</t>
        </is>
      </c>
      <c r="B41" s="31">
        <f>B40+B39*SchemeCFieldDt</f>
        <v/>
      </c>
      <c r="C41" s="3">
        <f>B40+B39*SchemeCFieldDt</f>
        <v/>
      </c>
      <c r="D41" s="3" t="inlineStr">
        <is>
          <t>若靠近 5 °C，只说明落在目标线附近，不是达到目标的证据</t>
        </is>
      </c>
      <c r="E41" s="17" t="n"/>
      <c r="F41" s="18" t="n"/>
    </row>
  </sheetData>
  <autoFilter ref="A4:K32"/>
  <mergeCells count="9">
    <mergeCell ref="D38:F38"/>
    <mergeCell ref="D37:F37"/>
    <mergeCell ref="D41:F41"/>
    <mergeCell ref="D40:F40"/>
    <mergeCell ref="A2:K2"/>
    <mergeCell ref="D36:F36"/>
    <mergeCell ref="A34:F34"/>
    <mergeCell ref="D39:F39"/>
    <mergeCell ref="A1:K1"/>
  </mergeCells>
  <pageMargins left="0.5" right="0.5" top="0.65" bottom="0.55" header="0.25" footer="0.25"/>
  <pageSetup orientation="landscape" paperSize="9" fitToHeight="0" fitToWidth="1" horizontalDpi="300" verticalDpi="300"/>
  <headerFooter>
    <oddHeader>&amp;LHBM微通道冷板 1D 设计计算&amp;R2026-09-29</oddHeader>
    <oddFooter>&amp;Lv1.0  单列四颗&amp;R第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HBM 1D design</dc:creator>
  <dc:title xmlns:dc="http://purl.org/dc/elements/1.1/">HBM微通道冷板 1D 设计计算</dc:title>
  <dc:subject xmlns:dc="http://purl.org/dc/elements/1.1/">2026-09-29 HBM column 1D screen</dc:subject>
  <dcterms:created xmlns:dcterms="http://purl.org/dc/terms/" xmlns:xsi="http://www.w3.org/2001/XMLSchema-instance" xsi:type="dcterms:W3CDTF">2026-09-29T05:25:43Z</dcterms:created>
  <dcterms:modified xmlns:dcterms="http://purl.org/dc/terms/" xmlns:xsi="http://www.w3.org/2001/XMLSchema-instance" xsi:type="dcterms:W3CDTF">2026-09-29T05:25:43Z</dcterms:modified>
</cp:coreProperties>
</file>