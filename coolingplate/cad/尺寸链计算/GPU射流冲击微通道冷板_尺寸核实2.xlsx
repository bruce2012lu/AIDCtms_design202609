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输入参数" sheetId="2" state="visible" r:id="rId2"/>
    <sheet xmlns:r="http://schemas.openxmlformats.org/officeDocument/2006/relationships" name="结构布局" sheetId="3" state="visible" r:id="rId3"/>
    <sheet xmlns:r="http://schemas.openxmlformats.org/officeDocument/2006/relationships" name="结构尺寸" sheetId="4" state="visible" r:id="rId4"/>
    <sheet xmlns:r="http://schemas.openxmlformats.org/officeDocument/2006/relationships" name="尺寸核实2" sheetId="5" state="visible" r:id="rId5"/>
  </sheets>
  <definedNames>
    <definedName name="plate_L">'输入参数'!$C$4</definedName>
    <definedName name="plate_W">'输入参数'!$C$5</definedName>
    <definedName name="plate_T">'输入参数'!$C$6</definedName>
    <definedName name="cav_t">'输入参数'!$C$7</definedName>
    <definedName name="margin_x">'输入参数'!$C$8</definedName>
    <definedName name="hbm_w">'输入参数'!$C$9</definedName>
    <definedName name="gap_rib">'输入参数'!$C$10</definedName>
    <definedName name="rib_w">'输入参数'!$C$11</definedName>
    <definedName name="die_w">'输入参数'!$C$12</definedName>
    <definedName name="hbi">'输入参数'!$C$13</definedName>
    <definedName name="die_h">'输入参数'!$C$14</definedName>
    <definedName name="die_ax">'输入参数'!$C$15</definedName>
    <definedName name="die_ay">'输入参数'!$C$16</definedName>
    <definedName name="die_bx">'输入参数'!$C$17</definedName>
    <definedName name="y_end">'输入参数'!$C$18</definedName>
    <definedName name="col_len">'输入参数'!$C$19</definedName>
    <definedName name="hbm_xr">'输入参数'!$C$20</definedName>
    <definedName name="base_cu">'输入参数'!$C$21</definedName>
    <definedName name="groove_h">'输入参数'!$C$22</definedName>
    <definedName name="jet_h">'输入参数'!$C$23</definedName>
    <definedName name="lid_t">'输入参数'!$C$24</definedName>
    <definedName name="braze">'输入参数'!$C$25</definedName>
    <definedName name="n_jx">'输入参数'!$C$26</definedName>
    <definedName name="n_jy">'输入参数'!$C$27</definedName>
    <definedName name="pitch_x">'输入参数'!$C$28</definedName>
    <definedName name="pitch_y">'输入参数'!$C$29</definedName>
    <definedName name="cov_y">'输入参数'!$C$30</definedName>
    <definedName name="oh_y">'输入参数'!$C$31</definedName>
    <definedName name="env_allow">'输入参数'!$C$32</definedName>
    <definedName name="env_y">'输入参数'!$C$33</definedName>
    <definedName name="env_rem">'输入参数'!$C$34</definedName>
    <definedName name="ch_w">'输入参数'!$C$35</definedName>
    <definedName name="ch_p">'输入参数'!$C$36</definedName>
    <definedName name="n_ch_die">'输入参数'!$C$37</definedName>
    <definedName name="n_slot">'输入参数'!$C$38</definedName>
    <definedName name="land_cell">'输入参数'!$C$39</definedName>
    <definedName name="slot_w">'输入参数'!$C$40</definedName>
    <definedName name="slot_rib">'输入参数'!$C$41</definedName>
    <definedName name="slit">'输入参数'!$C$42</definedName>
    <definedName name="D_jet">'输入参数'!$C$43</definedName>
    <definedName name="D_rpt">'输入参数'!$C$44</definedName>
    <definedName name="hole_in">'输入参数'!$C$45</definedName>
    <definedName name="hole_span_x">'输入参数'!$C$46</definedName>
    <definedName name="hole_span_y">'输入参数'!$C$47</definedName>
    <definedName name="stack_h">'输入参数'!$C$48</definedName>
    <definedName name="gap_stack">'输入参数'!$C$49</definedName>
    <definedName name="_xlnm.Print_Titles" localSheetId="0">'封面'!$1:$1</definedName>
    <definedName name="_xlnm._FilterDatabase" localSheetId="1" hidden="1">'输入参数'!$A$3:$D$49</definedName>
    <definedName name="_xlnm.Print_Titles" localSheetId="1">'输入参数'!$1:$3</definedName>
    <definedName name="_xlnm._FilterDatabase" localSheetId="2" hidden="1">'结构布局'!$A$3:$C$16</definedName>
    <definedName name="_xlnm.Print_Titles" localSheetId="2">'结构布局'!$1:$3</definedName>
    <definedName name="_xlnm._FilterDatabase" localSheetId="3" hidden="1">'结构尺寸'!$A$3:$D$30</definedName>
    <definedName name="_xlnm.Print_Titles" localSheetId="3">'结构尺寸'!$1:$3</definedName>
    <definedName name="_xlnm.Print_Titles" localSheetId="4">'尺寸核实2'!$1:$2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8">
    <font>
      <name val="Calibri"/>
      <family val="2"/>
      <color theme="1"/>
      <sz val="11"/>
      <scheme val="minor"/>
    </font>
    <font>
      <name val="微软雅黑"/>
      <b val="1"/>
      <color rgb="000E3A5D"/>
      <sz val="20"/>
    </font>
    <font>
      <name val="微软雅黑"/>
      <b val="1"/>
      <sz val="11"/>
    </font>
    <font>
      <name val="微软雅黑"/>
      <sz val="11"/>
    </font>
    <font>
      <name val="微软雅黑"/>
      <b val="1"/>
      <color rgb="000E3A5D"/>
      <sz val="16"/>
    </font>
    <font>
      <name val="微软雅黑"/>
      <b val="1"/>
      <color rgb="00FFFFFF"/>
      <sz val="11"/>
    </font>
    <font>
      <name val="Consolas"/>
      <sz val="10"/>
    </font>
    <font>
      <name val="微软雅黑"/>
      <color rgb="000B3A66"/>
      <sz val="11"/>
    </font>
  </fonts>
  <fills count="5">
    <fill>
      <patternFill/>
    </fill>
    <fill>
      <patternFill patternType="gray125"/>
    </fill>
    <fill>
      <patternFill patternType="solid">
        <fgColor rgb="000E3A5D"/>
      </patternFill>
    </fill>
    <fill>
      <patternFill patternType="solid">
        <fgColor rgb="00D6E6F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D5DDE6"/>
      </left>
      <right style="thin">
        <color rgb="00D5DDE6"/>
      </right>
      <top style="thin">
        <color rgb="00D5DDE6"/>
      </top>
      <bottom style="thin">
        <color rgb="00D5DDE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2" borderId="0" pivotButton="0" quotePrefix="0" xfId="0"/>
    <xf numFmtId="0" fontId="2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165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center"/>
    </xf>
    <xf numFmtId="0" fontId="3" fillId="0" borderId="1" pivotButton="0" quotePrefix="0" xfId="0"/>
    <xf numFmtId="165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6" customHeight="1">
      <c r="A1" s="1" t="inlineStr">
        <is>
          <t>GPU 射流冲击微通道冷板</t>
        </is>
      </c>
    </row>
    <row r="3" ht="32" customHeight="1">
      <c r="A3" s="2" t="inlineStr">
        <is>
          <t>文件</t>
        </is>
      </c>
      <c r="B3" s="3" t="inlineStr">
        <is>
          <t>DC-GPU-VER2</t>
        </is>
      </c>
    </row>
    <row r="4" ht="32" customHeight="1">
      <c r="A4" s="2" t="inlineStr">
        <is>
          <t>日期</t>
        </is>
      </c>
      <c r="B4" s="3" t="inlineStr">
        <is>
          <t>2026-09-29</t>
        </is>
      </c>
    </row>
    <row r="5" ht="32" customHeight="1">
      <c r="A5" s="2" t="inlineStr">
        <is>
          <t>核实内容</t>
        </is>
      </c>
      <c r="B5" s="3" t="inlineStr">
        <is>
          <t>结构布局坐标、结构尺寸、名义尺寸链</t>
        </is>
      </c>
    </row>
    <row r="6" ht="32" customHeight="1">
      <c r="A6" s="2" t="inlineStr">
        <is>
          <t>输入</t>
        </is>
      </c>
      <c r="B6" s="3" t="inlineStr">
        <is>
          <t>工作表「输入参数」中的蓝字。改蓝字后，尺寸核实2 的判定跟着变。</t>
        </is>
      </c>
    </row>
    <row r="7" ht="32" customHeight="1">
      <c r="A7" s="2" t="inlineStr">
        <is>
          <t>公式</t>
        </is>
      </c>
      <c r="B7" s="3" t="inlineStr">
        <is>
          <t>尺寸核实2 的和、差、判定都是公式，不要在那些格子里改数字。</t>
        </is>
      </c>
    </row>
    <row r="8" ht="32" customHeight="1">
      <c r="A8" s="2" t="inlineStr">
        <is>
          <t>公差</t>
        </is>
      </c>
      <c r="B8" s="3" t="inlineStr">
        <is>
          <t>源文件没有线性公差。本表只核名义尺寸是否相加等于封闭环。</t>
        </is>
      </c>
    </row>
    <row r="9" ht="32" customHeight="1">
      <c r="A9" s="2" t="inlineStr">
        <is>
          <t>打印</t>
        </is>
      </c>
      <c r="B9" s="3" t="inlineStr">
        <is>
          <t>各表已按 A4 横向设置。直接打印或导出 PDF，不必再改列宽。</t>
        </is>
      </c>
    </row>
  </sheetData>
  <mergeCells count="1">
    <mergeCell ref="A1:B1"/>
  </mergeCells>
  <pageMargins left="0.75" right="0.75" top="1" bottom="1" header="0.5" footer="0.5"/>
  <pageSetup orientation="portrait" paperSize="9" fitToHeight="1" fitToWidth="1"/>
  <headerFooter>
    <oddHeader>&amp;LGPU 射流冲击微通道冷板</oddHeader>
    <oddFooter>&amp;CAIDCtms 冷却板  ·  尺寸核实2  ·  2026-09-29&amp;R第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D4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36" customWidth="1" min="4" max="4"/>
  </cols>
  <sheetData>
    <row r="1" ht="24" customHeight="1">
      <c r="A1" s="4" t="inlineStr">
        <is>
          <t>输入参数（蓝字可改）</t>
        </is>
      </c>
    </row>
    <row r="3" ht="22" customHeight="1">
      <c r="A3" s="5" t="inlineStr">
        <is>
          <t>名称</t>
        </is>
      </c>
      <c r="B3" s="5" t="inlineStr">
        <is>
          <t>符号</t>
        </is>
      </c>
      <c r="C3" s="5" t="inlineStr">
        <is>
          <t>数值 / mm</t>
        </is>
      </c>
      <c r="D3" s="5" t="inlineStr">
        <is>
          <t>说明</t>
        </is>
      </c>
    </row>
    <row r="4" ht="20" customHeight="1">
      <c r="A4" s="6" t="inlineStr">
        <is>
          <t>板宽</t>
        </is>
      </c>
      <c r="B4" s="7" t="inlineStr">
        <is>
          <t>plate_L</t>
        </is>
      </c>
      <c r="C4" s="8" t="n">
        <v>95</v>
      </c>
      <c r="D4" s="9" t="inlineStr">
        <is>
          <t>输入</t>
        </is>
      </c>
    </row>
    <row r="5" ht="20" customHeight="1">
      <c r="A5" s="6" t="inlineStr">
        <is>
          <t>板长</t>
        </is>
      </c>
      <c r="B5" s="7" t="inlineStr">
        <is>
          <t>plate_W</t>
        </is>
      </c>
      <c r="C5" s="8" t="n">
        <v>75</v>
      </c>
      <c r="D5" s="9" t="inlineStr">
        <is>
          <t>输入</t>
        </is>
      </c>
    </row>
    <row r="6" ht="20" customHeight="1">
      <c r="A6" s="6" t="inlineStr">
        <is>
          <t>外形厚</t>
        </is>
      </c>
      <c r="B6" s="7" t="inlineStr">
        <is>
          <t>plate_T</t>
        </is>
      </c>
      <c r="C6" s="8" t="n">
        <v>8.5</v>
      </c>
      <c r="D6" s="9" t="inlineStr">
        <is>
          <t>输入</t>
        </is>
      </c>
    </row>
    <row r="7" ht="20" customHeight="1">
      <c r="A7" s="6" t="inlineStr">
        <is>
          <t>腔体厚</t>
        </is>
      </c>
      <c r="B7" s="7" t="inlineStr">
        <is>
          <t>cav_t</t>
        </is>
      </c>
      <c r="C7" s="8" t="n">
        <v>8</v>
      </c>
      <c r="D7" s="9" t="inlineStr">
        <is>
          <t>输入</t>
        </is>
      </c>
    </row>
    <row r="8" ht="20" customHeight="1">
      <c r="A8" s="6" t="inlineStr">
        <is>
          <t>左右边距</t>
        </is>
      </c>
      <c r="B8" s="7" t="inlineStr">
        <is>
          <t>margin_x</t>
        </is>
      </c>
      <c r="C8" s="8" t="n">
        <v>5</v>
      </c>
      <c r="D8" s="9" t="inlineStr">
        <is>
          <t>输入</t>
        </is>
      </c>
    </row>
    <row r="9" ht="20" customHeight="1">
      <c r="A9" s="6" t="inlineStr">
        <is>
          <t>HBM 列宽</t>
        </is>
      </c>
      <c r="B9" s="7" t="inlineStr">
        <is>
          <t>hbm_w</t>
        </is>
      </c>
      <c r="C9" s="8" t="n">
        <v>11</v>
      </c>
      <c r="D9" s="9" t="inlineStr">
        <is>
          <t>输入</t>
        </is>
      </c>
    </row>
    <row r="10" ht="20" customHeight="1">
      <c r="A10" s="6" t="inlineStr">
        <is>
          <t>肋侧缝</t>
        </is>
      </c>
      <c r="B10" s="7" t="inlineStr">
        <is>
          <t>gap_rib</t>
        </is>
      </c>
      <c r="C10" s="8" t="n">
        <v>0.5</v>
      </c>
      <c r="D10" s="9" t="inlineStr">
        <is>
          <t>输入</t>
        </is>
      </c>
    </row>
    <row r="11" ht="20" customHeight="1">
      <c r="A11" s="6" t="inlineStr">
        <is>
          <t>隔离肋宽</t>
        </is>
      </c>
      <c r="B11" s="7" t="inlineStr">
        <is>
          <t>rib_w</t>
        </is>
      </c>
      <c r="C11" s="8" t="n">
        <v>2</v>
      </c>
      <c r="D11" s="9" t="inlineStr">
        <is>
          <t>输入</t>
        </is>
      </c>
    </row>
    <row r="12" ht="20" customHeight="1">
      <c r="A12" s="6" t="inlineStr">
        <is>
          <t>die 宽</t>
        </is>
      </c>
      <c r="B12" s="7" t="inlineStr">
        <is>
          <t>die_w</t>
        </is>
      </c>
      <c r="C12" s="8" t="n">
        <v>27</v>
      </c>
      <c r="D12" s="9" t="inlineStr">
        <is>
          <t>输入</t>
        </is>
      </c>
    </row>
    <row r="13" ht="20" customHeight="1">
      <c r="A13" s="6" t="inlineStr">
        <is>
          <t>HBI</t>
        </is>
      </c>
      <c r="B13" s="7" t="inlineStr">
        <is>
          <t>hbi</t>
        </is>
      </c>
      <c r="C13" s="8" t="n">
        <v>3</v>
      </c>
      <c r="D13" s="9" t="inlineStr">
        <is>
          <t>输入</t>
        </is>
      </c>
    </row>
    <row r="14" ht="20" customHeight="1">
      <c r="A14" s="6" t="inlineStr">
        <is>
          <t>die 高</t>
        </is>
      </c>
      <c r="B14" s="7" t="inlineStr">
        <is>
          <t>die_h</t>
        </is>
      </c>
      <c r="C14" s="8" t="n">
        <v>28</v>
      </c>
      <c r="D14" s="9" t="inlineStr">
        <is>
          <t>输入</t>
        </is>
      </c>
    </row>
    <row r="15" ht="20" customHeight="1">
      <c r="A15" s="6" t="inlineStr">
        <is>
          <t>Die-A 左缘</t>
        </is>
      </c>
      <c r="B15" s="7" t="inlineStr">
        <is>
          <t>die_ax</t>
        </is>
      </c>
      <c r="C15" s="8" t="n">
        <v>19</v>
      </c>
      <c r="D15" s="9" t="inlineStr">
        <is>
          <t>输入</t>
        </is>
      </c>
    </row>
    <row r="16" ht="20" customHeight="1">
      <c r="A16" s="6" t="inlineStr">
        <is>
          <t>Die-A 下缘</t>
        </is>
      </c>
      <c r="B16" s="7" t="inlineStr">
        <is>
          <t>die_ay</t>
        </is>
      </c>
      <c r="C16" s="8" t="n">
        <v>23.5</v>
      </c>
      <c r="D16" s="9" t="inlineStr">
        <is>
          <t>输入</t>
        </is>
      </c>
    </row>
    <row r="17" ht="20" customHeight="1">
      <c r="A17" s="6" t="inlineStr">
        <is>
          <t>Die-B 左缘</t>
        </is>
      </c>
      <c r="B17" s="7" t="inlineStr">
        <is>
          <t>die_bx</t>
        </is>
      </c>
      <c r="C17" s="8" t="n">
        <v>49</v>
      </c>
      <c r="D17" s="9" t="inlineStr">
        <is>
          <t>输入</t>
        </is>
      </c>
    </row>
    <row r="18" ht="20" customHeight="1">
      <c r="A18" s="6" t="inlineStr">
        <is>
          <t>Y 边距</t>
        </is>
      </c>
      <c r="B18" s="7" t="inlineStr">
        <is>
          <t>y_end</t>
        </is>
      </c>
      <c r="C18" s="8" t="n">
        <v>12.5</v>
      </c>
      <c r="D18" s="9" t="inlineStr">
        <is>
          <t>输入</t>
        </is>
      </c>
    </row>
    <row r="19" ht="20" customHeight="1">
      <c r="A19" s="6" t="inlineStr">
        <is>
          <t>列长</t>
        </is>
      </c>
      <c r="B19" s="7" t="inlineStr">
        <is>
          <t>col_len</t>
        </is>
      </c>
      <c r="C19" s="8" t="n">
        <v>50</v>
      </c>
      <c r="D19" s="9" t="inlineStr">
        <is>
          <t>输入</t>
        </is>
      </c>
    </row>
    <row r="20" ht="20" customHeight="1">
      <c r="A20" s="6" t="inlineStr">
        <is>
          <t>右列 x</t>
        </is>
      </c>
      <c r="B20" s="7" t="inlineStr">
        <is>
          <t>hbm_xr</t>
        </is>
      </c>
      <c r="C20" s="8" t="n">
        <v>79</v>
      </c>
      <c r="D20" s="9" t="inlineStr">
        <is>
          <t>输入</t>
        </is>
      </c>
    </row>
    <row r="21" ht="20" customHeight="1">
      <c r="A21" s="6" t="inlineStr">
        <is>
          <t>余铜</t>
        </is>
      </c>
      <c r="B21" s="7" t="inlineStr">
        <is>
          <t>base_cu</t>
        </is>
      </c>
      <c r="C21" s="8" t="n">
        <v>2</v>
      </c>
      <c r="D21" s="9" t="inlineStr">
        <is>
          <t>输入</t>
        </is>
      </c>
    </row>
    <row r="22" ht="20" customHeight="1">
      <c r="A22" s="6" t="inlineStr">
        <is>
          <t>槽深</t>
        </is>
      </c>
      <c r="B22" s="7" t="inlineStr">
        <is>
          <t>groove_h</t>
        </is>
      </c>
      <c r="C22" s="8" t="n">
        <v>1.5</v>
      </c>
      <c r="D22" s="9" t="inlineStr">
        <is>
          <t>输入</t>
        </is>
      </c>
    </row>
    <row r="23" ht="20" customHeight="1">
      <c r="A23" s="6" t="inlineStr">
        <is>
          <t>喷距</t>
        </is>
      </c>
      <c r="B23" s="7" t="inlineStr">
        <is>
          <t>jet_h</t>
        </is>
      </c>
      <c r="C23" s="8" t="n">
        <v>2</v>
      </c>
      <c r="D23" s="9" t="inlineStr">
        <is>
          <t>输入</t>
        </is>
      </c>
    </row>
    <row r="24" ht="20" customHeight="1">
      <c r="A24" s="6" t="inlineStr">
        <is>
          <t>喷嘴板</t>
        </is>
      </c>
      <c r="B24" s="7" t="inlineStr">
        <is>
          <t>lid_t</t>
        </is>
      </c>
      <c r="C24" s="8" t="n">
        <v>2.5</v>
      </c>
      <c r="D24" s="9" t="inlineStr">
        <is>
          <t>输入</t>
        </is>
      </c>
    </row>
    <row r="25" ht="20" customHeight="1">
      <c r="A25" s="6" t="inlineStr">
        <is>
          <t>钎缝</t>
        </is>
      </c>
      <c r="B25" s="7" t="inlineStr">
        <is>
          <t>braze</t>
        </is>
      </c>
      <c r="C25" s="8" t="n">
        <v>0.5</v>
      </c>
      <c r="D25" s="9" t="inlineStr">
        <is>
          <t>输入</t>
        </is>
      </c>
    </row>
    <row r="26" ht="20" customHeight="1">
      <c r="A26" s="6" t="inlineStr">
        <is>
          <t>X 格数</t>
        </is>
      </c>
      <c r="B26" s="7" t="inlineStr">
        <is>
          <t>n_jx</t>
        </is>
      </c>
      <c r="C26" s="8" t="n">
        <v>9</v>
      </c>
      <c r="D26" s="9" t="inlineStr">
        <is>
          <t>输入</t>
        </is>
      </c>
    </row>
    <row r="27" ht="20" customHeight="1">
      <c r="A27" s="6" t="inlineStr">
        <is>
          <t>Y 格数</t>
        </is>
      </c>
      <c r="B27" s="7" t="inlineStr">
        <is>
          <t>n_jy</t>
        </is>
      </c>
      <c r="C27" s="8" t="n">
        <v>12</v>
      </c>
      <c r="D27" s="9" t="inlineStr">
        <is>
          <t>输入</t>
        </is>
      </c>
    </row>
    <row r="28" ht="20" customHeight="1">
      <c r="A28" s="6" t="inlineStr">
        <is>
          <t>X 节距</t>
        </is>
      </c>
      <c r="B28" s="7" t="inlineStr">
        <is>
          <t>pitch_x</t>
        </is>
      </c>
      <c r="C28" s="8" t="n">
        <v>3</v>
      </c>
      <c r="D28" s="9" t="inlineStr">
        <is>
          <t>输入</t>
        </is>
      </c>
    </row>
    <row r="29" ht="20" customHeight="1">
      <c r="A29" s="6" t="inlineStr">
        <is>
          <t>Y 节距</t>
        </is>
      </c>
      <c r="B29" s="7" t="inlineStr">
        <is>
          <t>pitch_y</t>
        </is>
      </c>
      <c r="C29" s="8" t="n">
        <v>2.4</v>
      </c>
      <c r="D29" s="9" t="inlineStr">
        <is>
          <t>输入</t>
        </is>
      </c>
    </row>
    <row r="30" ht="20" customHeight="1">
      <c r="A30" s="6" t="inlineStr">
        <is>
          <t>Y 覆盖</t>
        </is>
      </c>
      <c r="B30" s="7" t="inlineStr">
        <is>
          <t>cov_y</t>
        </is>
      </c>
      <c r="C30" s="8" t="n">
        <v>28.8</v>
      </c>
      <c r="D30" s="9" t="inlineStr">
        <is>
          <t>输入</t>
        </is>
      </c>
    </row>
    <row r="31" ht="20" customHeight="1">
      <c r="A31" s="6" t="inlineStr">
        <is>
          <t>Y 超出</t>
        </is>
      </c>
      <c r="B31" s="7" t="inlineStr">
        <is>
          <t>oh_y</t>
        </is>
      </c>
      <c r="C31" s="8" t="n">
        <v>0.8</v>
      </c>
      <c r="D31" s="9" t="inlineStr">
        <is>
          <t>输入</t>
        </is>
      </c>
    </row>
    <row r="32" ht="20" customHeight="1">
      <c r="A32" s="6" t="inlineStr">
        <is>
          <t>外包络定额</t>
        </is>
      </c>
      <c r="B32" s="7" t="inlineStr">
        <is>
          <t>env_allow</t>
        </is>
      </c>
      <c r="C32" s="8" t="n">
        <v>1.2</v>
      </c>
      <c r="D32" s="9" t="inlineStr">
        <is>
          <t>输入</t>
        </is>
      </c>
    </row>
    <row r="33" ht="20" customHeight="1">
      <c r="A33" s="6" t="inlineStr">
        <is>
          <t>外包络</t>
        </is>
      </c>
      <c r="B33" s="7" t="inlineStr">
        <is>
          <t>env_y</t>
        </is>
      </c>
      <c r="C33" s="8" t="n">
        <v>29.2</v>
      </c>
      <c r="D33" s="9" t="inlineStr">
        <is>
          <t>输入</t>
        </is>
      </c>
    </row>
    <row r="34" ht="20" customHeight="1">
      <c r="A34" s="6" t="inlineStr">
        <is>
          <t>外包络余量</t>
        </is>
      </c>
      <c r="B34" s="7" t="inlineStr">
        <is>
          <t>env_rem</t>
        </is>
      </c>
      <c r="C34" s="8" t="n">
        <v>0.4</v>
      </c>
      <c r="D34" s="9" t="inlineStr">
        <is>
          <t>输入</t>
        </is>
      </c>
    </row>
    <row r="35" ht="20" customHeight="1">
      <c r="A35" s="6" t="inlineStr">
        <is>
          <t>槽宽</t>
        </is>
      </c>
      <c r="B35" s="7" t="inlineStr">
        <is>
          <t>ch_w</t>
        </is>
      </c>
      <c r="C35" s="8" t="n">
        <v>0.4</v>
      </c>
      <c r="D35" s="9" t="inlineStr">
        <is>
          <t>输入</t>
        </is>
      </c>
    </row>
    <row r="36" ht="20" customHeight="1">
      <c r="A36" s="6" t="inlineStr">
        <is>
          <t>槽节距</t>
        </is>
      </c>
      <c r="B36" s="7" t="inlineStr">
        <is>
          <t>ch_p</t>
        </is>
      </c>
      <c r="C36" s="8" t="n">
        <v>0.8</v>
      </c>
      <c r="D36" s="9" t="inlineStr">
        <is>
          <t>输入</t>
        </is>
      </c>
    </row>
    <row r="37" ht="20" customHeight="1">
      <c r="A37" s="6" t="inlineStr">
        <is>
          <t>die 内节距数</t>
        </is>
      </c>
      <c r="B37" s="7" t="inlineStr">
        <is>
          <t>n_ch_die</t>
        </is>
      </c>
      <c r="C37" s="8" t="n">
        <v>35</v>
      </c>
      <c r="D37" s="9" t="inlineStr">
        <is>
          <t>输入</t>
        </is>
      </c>
    </row>
    <row r="38" ht="20" customHeight="1">
      <c r="A38" s="6" t="inlineStr">
        <is>
          <t>每胞槽数</t>
        </is>
      </c>
      <c r="B38" s="7" t="inlineStr">
        <is>
          <t>n_slot</t>
        </is>
      </c>
      <c r="C38" s="8" t="n">
        <v>3</v>
      </c>
      <c r="D38" s="9" t="inlineStr">
        <is>
          <t>输入</t>
        </is>
      </c>
    </row>
    <row r="39" ht="20" customHeight="1">
      <c r="A39" s="6" t="inlineStr">
        <is>
          <t>胞边半肋</t>
        </is>
      </c>
      <c r="B39" s="7" t="inlineStr">
        <is>
          <t>land_cell</t>
        </is>
      </c>
      <c r="C39" s="8" t="n">
        <v>0.2</v>
      </c>
      <c r="D39" s="9" t="inlineStr">
        <is>
          <t>输入</t>
        </is>
      </c>
    </row>
    <row r="40" ht="20" customHeight="1">
      <c r="A40" s="6" t="inlineStr">
        <is>
          <t>胞内槽宽</t>
        </is>
      </c>
      <c r="B40" s="7" t="inlineStr">
        <is>
          <t>slot_w</t>
        </is>
      </c>
      <c r="C40" s="8" t="n">
        <v>0.4</v>
      </c>
      <c r="D40" s="9" t="inlineStr">
        <is>
          <t>输入</t>
        </is>
      </c>
    </row>
    <row r="41" ht="20" customHeight="1">
      <c r="A41" s="6" t="inlineStr">
        <is>
          <t>胞内肋</t>
        </is>
      </c>
      <c r="B41" s="7" t="inlineStr">
        <is>
          <t>slot_rib</t>
        </is>
      </c>
      <c r="C41" s="8" t="n">
        <v>0.4</v>
      </c>
      <c r="D41" s="9" t="inlineStr">
        <is>
          <t>输入</t>
        </is>
      </c>
    </row>
    <row r="42" ht="20" customHeight="1">
      <c r="A42" s="6" t="inlineStr">
        <is>
          <t>回液缝</t>
        </is>
      </c>
      <c r="B42" s="7" t="inlineStr">
        <is>
          <t>slit</t>
        </is>
      </c>
      <c r="C42" s="8" t="n">
        <v>0.4</v>
      </c>
      <c r="D42" s="9" t="inlineStr">
        <is>
          <t>输入</t>
        </is>
      </c>
    </row>
    <row r="43" ht="20" customHeight="1">
      <c r="A43" s="6" t="inlineStr">
        <is>
          <t>孔径 UC01b</t>
        </is>
      </c>
      <c r="B43" s="7" t="inlineStr">
        <is>
          <t>D_jet</t>
        </is>
      </c>
      <c r="C43" s="8" t="n">
        <v>0.4</v>
      </c>
      <c r="D43" s="9" t="inlineStr">
        <is>
          <t>输入</t>
        </is>
      </c>
    </row>
    <row r="44" ht="20" customHeight="1">
      <c r="A44" s="6" t="inlineStr">
        <is>
          <t>孔径 报告正文</t>
        </is>
      </c>
      <c r="B44" s="7" t="inlineStr">
        <is>
          <t>D_rpt</t>
        </is>
      </c>
      <c r="C44" s="8" t="n">
        <v>0.5</v>
      </c>
      <c r="D44" s="9" t="inlineStr">
        <is>
          <t>输入</t>
        </is>
      </c>
    </row>
    <row r="45" ht="20" customHeight="1">
      <c r="A45" s="6" t="inlineStr">
        <is>
          <t>孔中心边距</t>
        </is>
      </c>
      <c r="B45" s="7" t="inlineStr">
        <is>
          <t>hole_in</t>
        </is>
      </c>
      <c r="C45" s="8" t="n">
        <v>4.5</v>
      </c>
      <c r="D45" s="9" t="inlineStr">
        <is>
          <t>输入</t>
        </is>
      </c>
    </row>
    <row r="46" ht="20" customHeight="1">
      <c r="A46" s="6" t="inlineStr">
        <is>
          <t>孔距 X</t>
        </is>
      </c>
      <c r="B46" s="7" t="inlineStr">
        <is>
          <t>hole_span_x</t>
        </is>
      </c>
      <c r="C46" s="8" t="n">
        <v>86</v>
      </c>
      <c r="D46" s="9" t="inlineStr">
        <is>
          <t>输入</t>
        </is>
      </c>
    </row>
    <row r="47" ht="20" customHeight="1">
      <c r="A47" s="6" t="inlineStr">
        <is>
          <t>孔距 Y</t>
        </is>
      </c>
      <c r="B47" s="7" t="inlineStr">
        <is>
          <t>hole_span_y</t>
        </is>
      </c>
      <c r="C47" s="8" t="n">
        <v>66</v>
      </c>
      <c r="D47" s="9" t="inlineStr">
        <is>
          <t>输入</t>
        </is>
      </c>
    </row>
    <row r="48" ht="20" customHeight="1">
      <c r="A48" s="6" t="inlineStr">
        <is>
          <t>HBM 单颗高</t>
        </is>
      </c>
      <c r="B48" s="7" t="inlineStr">
        <is>
          <t>stack_h</t>
        </is>
      </c>
      <c r="C48" s="8" t="n">
        <v>11</v>
      </c>
      <c r="D48" s="9" t="inlineStr">
        <is>
          <t>输入</t>
        </is>
      </c>
    </row>
    <row r="49" ht="20" customHeight="1">
      <c r="A49" s="6" t="inlineStr">
        <is>
          <t>颗间间隙</t>
        </is>
      </c>
      <c r="B49" s="7" t="inlineStr">
        <is>
          <t>gap_stack</t>
        </is>
      </c>
      <c r="C49" s="8" t="n">
        <v>2</v>
      </c>
      <c r="D49" s="9" t="inlineStr">
        <is>
          <t>输入</t>
        </is>
      </c>
    </row>
  </sheetData>
  <autoFilter ref="A3:D49"/>
  <mergeCells count="1">
    <mergeCell ref="A1:D1"/>
  </mergeCells>
  <pageMargins left="0.5" right="0.5" top="0.7" bottom="0.6" header="0.5" footer="0.5"/>
  <pageSetup orientation="landscape" paperSize="9" fitToHeight="0" fitToWidth="1"/>
  <headerFooter>
    <oddHeader>&amp;L输入参数</oddHeader>
    <oddFooter>&amp;CAIDCtms 冷却板  ·  尺寸核实2  ·  2026-09-29&amp;R尺寸核实2  ·  2026-09-29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C1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55" customWidth="1" min="3" max="3"/>
  </cols>
  <sheetData>
    <row r="1" ht="24" customHeight="1">
      <c r="A1" s="4" t="inlineStr">
        <is>
          <t>结构布局（与布局说明同一坐标）</t>
        </is>
      </c>
    </row>
    <row r="3" ht="22" customHeight="1">
      <c r="A3" s="10" t="inlineStr">
        <is>
          <t>项目</t>
        </is>
      </c>
      <c r="B3" s="10" t="inlineStr">
        <is>
          <t>坐标或关系</t>
        </is>
      </c>
      <c r="C3" s="10" t="inlineStr">
        <is>
          <t>说明</t>
        </is>
      </c>
    </row>
    <row r="4" ht="32" customHeight="1">
      <c r="A4" s="11" t="inlineStr">
        <is>
          <t>原点</t>
        </is>
      </c>
      <c r="B4" s="11" t="inlineStr">
        <is>
          <t>左下角</t>
        </is>
      </c>
      <c r="C4" s="11" t="inlineStr">
        <is>
          <t>X 向右 95 mm，Y 向上 75 mm，芯片面在 z 小端</t>
        </is>
      </c>
    </row>
    <row r="5" ht="32" customHeight="1">
      <c r="A5" s="11" t="inlineStr">
        <is>
          <t>Die-A</t>
        </is>
      </c>
      <c r="B5" s="11" t="inlineStr">
        <is>
          <t>x 19–46，y 23.5–51.5</t>
        </is>
      </c>
      <c r="C5" s="11" t="inlineStr">
        <is>
          <t>27×28，射流 9×12</t>
        </is>
      </c>
    </row>
    <row r="6" ht="32" customHeight="1">
      <c r="A6" s="11" t="inlineStr">
        <is>
          <t>NV-HBI</t>
        </is>
      </c>
      <c r="B6" s="11" t="inlineStr">
        <is>
          <t>x 46–49</t>
        </is>
      </c>
      <c r="C6" s="11" t="inlineStr">
        <is>
          <t>3 mm，缝上不打密孔</t>
        </is>
      </c>
    </row>
    <row r="7" ht="32" customHeight="1">
      <c r="A7" s="11" t="inlineStr">
        <is>
          <t>Die-B</t>
        </is>
      </c>
      <c r="B7" s="11" t="inlineStr">
        <is>
          <t>x 49–76，y 23.5–51.5</t>
        </is>
      </c>
      <c r="C7" s="11" t="inlineStr">
        <is>
          <t>与 Die-A 同尺寸</t>
        </is>
      </c>
    </row>
    <row r="8" ht="32" customHeight="1">
      <c r="A8" s="11" t="inlineStr">
        <is>
          <t>左 HBM 列</t>
        </is>
      </c>
      <c r="B8" s="11" t="inlineStr">
        <is>
          <t>x 5–16，y 12.5–62.5</t>
        </is>
      </c>
      <c r="C8" s="11" t="inlineStr">
        <is>
          <t>四颗 11 mm，间隙 2 mm</t>
        </is>
      </c>
    </row>
    <row r="9" ht="32" customHeight="1">
      <c r="A9" s="11" t="inlineStr">
        <is>
          <t>右 HBM 列</t>
        </is>
      </c>
      <c r="B9" s="11" t="inlineStr">
        <is>
          <t>x 79–90，y 12.5–62.5</t>
        </is>
      </c>
      <c r="C9" s="11" t="inlineStr">
        <is>
          <t>与左列对称</t>
        </is>
      </c>
    </row>
    <row r="10" ht="32" customHeight="1">
      <c r="A10" s="11" t="inlineStr">
        <is>
          <t>隔离肋</t>
        </is>
      </c>
      <c r="B10" s="11" t="inlineStr">
        <is>
          <t>x 16.5–18.5 与 76.5–78.5</t>
        </is>
      </c>
      <c r="C10" s="11" t="inlineStr">
        <is>
          <t>宽 2，长 50</t>
        </is>
      </c>
    </row>
    <row r="11" ht="32" customHeight="1">
      <c r="A11" s="11" t="inlineStr">
        <is>
          <t>射流胞</t>
        </is>
      </c>
      <c r="B11" s="11" t="inlineStr">
        <is>
          <t>3.0 × 2.4</t>
        </is>
      </c>
      <c r="C11" s="11" t="inlineStr">
        <is>
          <t>孔在胞心，采用孔径 0.40</t>
        </is>
      </c>
    </row>
    <row r="12" ht="32" customHeight="1">
      <c r="A12" s="11" t="inlineStr">
        <is>
          <t>短槽</t>
        </is>
      </c>
      <c r="B12" s="11" t="inlineStr">
        <is>
          <t>沿 X，节距沿 Y 0.80</t>
        </is>
      </c>
      <c r="C12" s="11" t="inlineStr">
        <is>
          <t>每胞 3 条，宽 0.40，深 1.50</t>
        </is>
      </c>
    </row>
    <row r="13" ht="32" customHeight="1">
      <c r="A13" s="11" t="inlineStr">
        <is>
          <t>进液带</t>
        </is>
      </c>
      <c r="B13" s="11" t="inlineStr">
        <is>
          <t>y 66–73，x 8，宽 79</t>
        </is>
      </c>
      <c r="C13" s="11" t="inlineStr">
        <is>
          <t>板上沿</t>
        </is>
      </c>
    </row>
    <row r="14" ht="32" customHeight="1">
      <c r="A14" s="11" t="inlineStr">
        <is>
          <t>出液带</t>
        </is>
      </c>
      <c r="B14" s="11" t="inlineStr">
        <is>
          <t>y 2–9，x 8，宽 79</t>
        </is>
      </c>
      <c r="C14" s="11" t="inlineStr">
        <is>
          <t>板下沿</t>
        </is>
      </c>
    </row>
    <row r="15" ht="32" customHeight="1">
      <c r="A15" s="11" t="inlineStr">
        <is>
          <t>安装孔</t>
        </is>
      </c>
      <c r="B15" s="11" t="inlineStr">
        <is>
          <t>中心 4.5/90.5 与 4.5/70.5</t>
        </is>
      </c>
      <c r="C15" s="11" t="inlineStr">
        <is>
          <t>孔径 3.4，不进中心距链</t>
        </is>
      </c>
    </row>
    <row r="16" ht="32" customHeight="1">
      <c r="A16" s="11" t="inlineStr">
        <is>
          <t>厚度</t>
        </is>
      </c>
      <c r="B16" s="11" t="inlineStr">
        <is>
          <t>余铜 2 + 槽 1.5 + 喷距 2 + 喷嘴板 2.5 + 钎缝 0.5</t>
        </is>
      </c>
      <c r="C16" s="11" t="inlineStr">
        <is>
          <t>外形 8.5</t>
        </is>
      </c>
    </row>
  </sheetData>
  <autoFilter ref="A3:C16"/>
  <mergeCells count="1">
    <mergeCell ref="A1:C1"/>
  </mergeCells>
  <pageMargins left="0.5" right="0.5" top="0.7" bottom="0.6" header="0.5" footer="0.5"/>
  <pageSetup orientation="landscape" paperSize="9" fitToHeight="0" fitToWidth="1"/>
  <headerFooter>
    <oddHeader>&amp;L结构布局</oddHeader>
    <oddFooter>&amp;CAIDCtms 冷却板  ·  尺寸核实2  ·  2026-09-29&amp;R尺寸核实2  ·  2026-09-29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D3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48" customWidth="1" min="4" max="4"/>
  </cols>
  <sheetData>
    <row r="1" ht="24" customHeight="1">
      <c r="A1" s="4" t="inlineStr">
        <is>
          <t>结构尺寸</t>
        </is>
      </c>
    </row>
    <row r="3" ht="22" customHeight="1">
      <c r="A3" s="5" t="inlineStr">
        <is>
          <t>分组</t>
        </is>
      </c>
      <c r="B3" s="5" t="inlineStr">
        <is>
          <t>项目</t>
        </is>
      </c>
      <c r="C3" s="5" t="inlineStr">
        <is>
          <t>尺寸</t>
        </is>
      </c>
      <c r="D3" s="5" t="inlineStr">
        <is>
          <t>说明</t>
        </is>
      </c>
    </row>
    <row r="4" ht="22" customHeight="1">
      <c r="A4" s="11" t="inlineStr">
        <is>
          <t>外形</t>
        </is>
      </c>
      <c r="B4" s="11" t="inlineStr">
        <is>
          <t>板宽</t>
        </is>
      </c>
      <c r="C4" s="12" t="n">
        <v>95</v>
      </c>
      <c r="D4" s="11" t="inlineStr">
        <is>
          <t>X</t>
        </is>
      </c>
    </row>
    <row r="5" ht="22" customHeight="1">
      <c r="A5" s="11" t="inlineStr">
        <is>
          <t>外形</t>
        </is>
      </c>
      <c r="B5" s="11" t="inlineStr">
        <is>
          <t>板长</t>
        </is>
      </c>
      <c r="C5" s="12" t="n">
        <v>75</v>
      </c>
      <c r="D5" s="11" t="inlineStr">
        <is>
          <t>Y</t>
        </is>
      </c>
    </row>
    <row r="6" ht="22" customHeight="1">
      <c r="A6" s="11" t="inlineStr">
        <is>
          <t>外形</t>
        </is>
      </c>
      <c r="B6" s="11" t="inlineStr">
        <is>
          <t>板厚</t>
        </is>
      </c>
      <c r="C6" s="12" t="n">
        <v>8.5</v>
      </c>
      <c r="D6" s="11" t="inlineStr">
        <is>
          <t>含钎缝 0.5</t>
        </is>
      </c>
    </row>
    <row r="7" ht="22" customHeight="1">
      <c r="A7" s="11" t="inlineStr">
        <is>
          <t>外形</t>
        </is>
      </c>
      <c r="B7" s="11" t="inlineStr">
        <is>
          <t>腔体厚</t>
        </is>
      </c>
      <c r="C7" s="12" t="n">
        <v>8</v>
      </c>
      <c r="D7" s="11" t="inlineStr">
        <is>
          <t>不含钎缝</t>
        </is>
      </c>
    </row>
    <row r="8" ht="22" customHeight="1">
      <c r="A8" s="11" t="inlineStr">
        <is>
          <t>分区</t>
        </is>
      </c>
      <c r="B8" s="11" t="inlineStr">
        <is>
          <t>边距</t>
        </is>
      </c>
      <c r="C8" s="12" t="n">
        <v>5</v>
      </c>
      <c r="D8" s="11" t="inlineStr">
        <is>
          <t>左右相同</t>
        </is>
      </c>
    </row>
    <row r="9" ht="22" customHeight="1">
      <c r="A9" s="11" t="inlineStr">
        <is>
          <t>分区</t>
        </is>
      </c>
      <c r="B9" s="11" t="inlineStr">
        <is>
          <t>HBM 列宽</t>
        </is>
      </c>
      <c r="C9" s="12" t="n">
        <v>11</v>
      </c>
      <c r="D9" s="11" t="inlineStr"/>
    </row>
    <row r="10" ht="22" customHeight="1">
      <c r="A10" s="11" t="inlineStr">
        <is>
          <t>分区</t>
        </is>
      </c>
      <c r="B10" s="11" t="inlineStr">
        <is>
          <t>单颗高</t>
        </is>
      </c>
      <c r="C10" s="12" t="n">
        <v>11</v>
      </c>
      <c r="D10" s="11" t="inlineStr">
        <is>
          <t>四颗</t>
        </is>
      </c>
    </row>
    <row r="11" ht="22" customHeight="1">
      <c r="A11" s="11" t="inlineStr">
        <is>
          <t>分区</t>
        </is>
      </c>
      <c r="B11" s="11" t="inlineStr">
        <is>
          <t>颗间间隙</t>
        </is>
      </c>
      <c r="C11" s="12" t="n">
        <v>2</v>
      </c>
      <c r="D11" s="11" t="inlineStr">
        <is>
          <t>三处，不加热</t>
        </is>
      </c>
    </row>
    <row r="12" ht="22" customHeight="1">
      <c r="A12" s="11" t="inlineStr">
        <is>
          <t>分区</t>
        </is>
      </c>
      <c r="B12" s="11" t="inlineStr">
        <is>
          <t>隔离肋</t>
        </is>
      </c>
      <c r="C12" s="12" t="n">
        <v>2</v>
      </c>
      <c r="D12" s="11" t="inlineStr">
        <is>
          <t>长 50</t>
        </is>
      </c>
    </row>
    <row r="13" ht="22" customHeight="1">
      <c r="A13" s="11" t="inlineStr">
        <is>
          <t>分区</t>
        </is>
      </c>
      <c r="B13" s="11" t="inlineStr">
        <is>
          <t>肋侧缝</t>
        </is>
      </c>
      <c r="C13" s="12" t="n">
        <v>0.5</v>
      </c>
      <c r="D13" s="11" t="inlineStr">
        <is>
          <t>每侧两道</t>
        </is>
      </c>
    </row>
    <row r="14" ht="22" customHeight="1">
      <c r="A14" s="11" t="inlineStr">
        <is>
          <t>分区</t>
        </is>
      </c>
      <c r="B14" s="11" t="inlineStr">
        <is>
          <t>die 宽</t>
        </is>
      </c>
      <c r="C14" s="12" t="n">
        <v>27</v>
      </c>
      <c r="D14" s="11" t="inlineStr"/>
    </row>
    <row r="15" ht="22" customHeight="1">
      <c r="A15" s="11" t="inlineStr">
        <is>
          <t>分区</t>
        </is>
      </c>
      <c r="B15" s="11" t="inlineStr">
        <is>
          <t>die 高</t>
        </is>
      </c>
      <c r="C15" s="12" t="n">
        <v>28</v>
      </c>
      <c r="D15" s="11" t="inlineStr"/>
    </row>
    <row r="16" ht="22" customHeight="1">
      <c r="A16" s="11" t="inlineStr">
        <is>
          <t>分区</t>
        </is>
      </c>
      <c r="B16" s="11" t="inlineStr">
        <is>
          <t>HBI</t>
        </is>
      </c>
      <c r="C16" s="12" t="n">
        <v>3</v>
      </c>
      <c r="D16" s="11" t="inlineStr"/>
    </row>
    <row r="17" ht="22" customHeight="1">
      <c r="A17" s="11" t="inlineStr">
        <is>
          <t>射流</t>
        </is>
      </c>
      <c r="B17" s="11" t="inlineStr">
        <is>
          <t>X 节距</t>
        </is>
      </c>
      <c r="C17" s="12" t="n">
        <v>3</v>
      </c>
      <c r="D17" s="11" t="inlineStr">
        <is>
          <t>9 格</t>
        </is>
      </c>
    </row>
    <row r="18" ht="22" customHeight="1">
      <c r="A18" s="11" t="inlineStr">
        <is>
          <t>射流</t>
        </is>
      </c>
      <c r="B18" s="11" t="inlineStr">
        <is>
          <t>Y 节距</t>
        </is>
      </c>
      <c r="C18" s="12" t="n">
        <v>2.4</v>
      </c>
      <c r="D18" s="11" t="inlineStr">
        <is>
          <t>12 格，覆盖 28.8</t>
        </is>
      </c>
    </row>
    <row r="19" ht="22" customHeight="1">
      <c r="A19" s="11" t="inlineStr">
        <is>
          <t>射流</t>
        </is>
      </c>
      <c r="B19" s="11" t="inlineStr">
        <is>
          <t>孔径，采用</t>
        </is>
      </c>
      <c r="C19" s="12" t="n">
        <v>0.4</v>
      </c>
      <c r="D19" s="11" t="inlineStr">
        <is>
          <t>UC01b</t>
        </is>
      </c>
    </row>
    <row r="20" ht="22" customHeight="1">
      <c r="A20" s="11" t="inlineStr">
        <is>
          <t>射流</t>
        </is>
      </c>
      <c r="B20" s="11" t="inlineStr">
        <is>
          <t>孔径，对照</t>
        </is>
      </c>
      <c r="C20" s="12" t="n">
        <v>0.5</v>
      </c>
      <c r="D20" s="11" t="inlineStr">
        <is>
          <t>设计报告正文，不进孔位链</t>
        </is>
      </c>
    </row>
    <row r="21" ht="22" customHeight="1">
      <c r="A21" s="11" t="inlineStr">
        <is>
          <t>射流</t>
        </is>
      </c>
      <c r="B21" s="11" t="inlineStr">
        <is>
          <t>喷距</t>
        </is>
      </c>
      <c r="C21" s="12" t="n">
        <v>2</v>
      </c>
      <c r="D21" s="11" t="inlineStr"/>
    </row>
    <row r="22" ht="22" customHeight="1">
      <c r="A22" s="11" t="inlineStr">
        <is>
          <t>短槽</t>
        </is>
      </c>
      <c r="B22" s="11" t="inlineStr">
        <is>
          <t>槽宽</t>
        </is>
      </c>
      <c r="C22" s="12" t="n">
        <v>0.4</v>
      </c>
      <c r="D22" s="11" t="inlineStr"/>
    </row>
    <row r="23" ht="22" customHeight="1">
      <c r="A23" s="11" t="inlineStr">
        <is>
          <t>短槽</t>
        </is>
      </c>
      <c r="B23" s="11" t="inlineStr">
        <is>
          <t>槽深</t>
        </is>
      </c>
      <c r="C23" s="12" t="n">
        <v>1.5</v>
      </c>
      <c r="D23" s="11" t="inlineStr"/>
    </row>
    <row r="24" ht="22" customHeight="1">
      <c r="A24" s="11" t="inlineStr">
        <is>
          <t>短槽</t>
        </is>
      </c>
      <c r="B24" s="11" t="inlineStr">
        <is>
          <t>节距</t>
        </is>
      </c>
      <c r="C24" s="12" t="n">
        <v>0.8</v>
      </c>
      <c r="D24" s="11" t="inlineStr">
        <is>
          <t>肋 0.40</t>
        </is>
      </c>
    </row>
    <row r="25" ht="22" customHeight="1">
      <c r="A25" s="11" t="inlineStr">
        <is>
          <t>厚度</t>
        </is>
      </c>
      <c r="B25" s="11" t="inlineStr">
        <is>
          <t>余铜</t>
        </is>
      </c>
      <c r="C25" s="12" t="n">
        <v>2</v>
      </c>
      <c r="D25" s="11" t="inlineStr"/>
    </row>
    <row r="26" ht="22" customHeight="1">
      <c r="A26" s="11" t="inlineStr">
        <is>
          <t>厚度</t>
        </is>
      </c>
      <c r="B26" s="11" t="inlineStr">
        <is>
          <t>喷嘴板</t>
        </is>
      </c>
      <c r="C26" s="12" t="n">
        <v>2.5</v>
      </c>
      <c r="D26" s="11" t="inlineStr"/>
    </row>
    <row r="27" ht="22" customHeight="1">
      <c r="A27" s="11" t="inlineStr">
        <is>
          <t>厚度</t>
        </is>
      </c>
      <c r="B27" s="11" t="inlineStr">
        <is>
          <t>钎缝</t>
        </is>
      </c>
      <c r="C27" s="12" t="n">
        <v>0.5</v>
      </c>
      <c r="D27" s="11" t="inlineStr"/>
    </row>
    <row r="28" ht="22" customHeight="1">
      <c r="A28" s="11" t="inlineStr">
        <is>
          <t>安装</t>
        </is>
      </c>
      <c r="B28" s="11" t="inlineStr">
        <is>
          <t>孔中心边距</t>
        </is>
      </c>
      <c r="C28" s="12" t="n">
        <v>4.5</v>
      </c>
      <c r="D28" s="11" t="inlineStr"/>
    </row>
    <row r="29" ht="22" customHeight="1">
      <c r="A29" s="11" t="inlineStr">
        <is>
          <t>安装</t>
        </is>
      </c>
      <c r="B29" s="11" t="inlineStr">
        <is>
          <t>孔距 X</t>
        </is>
      </c>
      <c r="C29" s="12" t="n">
        <v>86</v>
      </c>
      <c r="D29" s="11" t="inlineStr"/>
    </row>
    <row r="30" ht="22" customHeight="1">
      <c r="A30" s="11" t="inlineStr">
        <is>
          <t>安装</t>
        </is>
      </c>
      <c r="B30" s="11" t="inlineStr">
        <is>
          <t>孔距 Y</t>
        </is>
      </c>
      <c r="C30" s="12" t="n">
        <v>66</v>
      </c>
      <c r="D30" s="11" t="inlineStr"/>
    </row>
  </sheetData>
  <autoFilter ref="A3:D30"/>
  <mergeCells count="1">
    <mergeCell ref="A1:D1"/>
  </mergeCells>
  <pageMargins left="0.5" right="0.5" top="0.7" bottom="0.6" header="0.5" footer="0.5"/>
  <pageSetup orientation="landscape" paperSize="9" fitToHeight="0" fitToWidth="1"/>
  <headerFooter>
    <oddHeader>&amp;L结构尺寸</oddHeader>
    <oddFooter>&amp;CAIDCtms 冷却板  ·  尺寸核实2  ·  2026-09-29&amp;R尺寸核实2  ·  2026-09-29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E3A5D"/>
    <outlinePr summaryBelow="1" summaryRight="1"/>
    <pageSetUpPr fitToPage="1"/>
  </sheetPr>
  <dimension ref="A1:G18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2" customWidth="1" min="3" max="3"/>
    <col width="28" customWidth="1" min="4" max="4"/>
    <col width="16" customWidth="1" min="5" max="5"/>
    <col width="10" customWidth="1" min="6" max="6"/>
    <col width="42" customWidth="1" min="7" max="7"/>
  </cols>
  <sheetData>
    <row r="1" ht="24" customHeight="1">
      <c r="A1" s="4" t="inlineStr">
        <is>
          <t>尺寸核实2 · 组成环重新相加</t>
        </is>
      </c>
    </row>
    <row r="2" ht="22" customHeight="1">
      <c r="A2" s="13" t="inlineStr">
        <is>
          <t>蓝字来自输入参数。黑色数字是公式。判定公差 0.001 mm，只用于浮点，不是制图公差。</t>
        </is>
      </c>
    </row>
    <row r="4" ht="22" customHeight="1">
      <c r="A4" s="14" t="inlineStr">
        <is>
          <t>X 向板宽</t>
        </is>
      </c>
    </row>
    <row r="5">
      <c r="A5" s="15" t="inlineStr">
        <is>
          <t>链</t>
        </is>
      </c>
      <c r="B5" s="15" t="inlineStr">
        <is>
          <t>序号</t>
        </is>
      </c>
      <c r="C5" s="15" t="inlineStr">
        <is>
          <t>组成环</t>
        </is>
      </c>
      <c r="D5" s="15" t="inlineStr">
        <is>
          <t>计算式</t>
        </is>
      </c>
      <c r="E5" s="15" t="inlineStr">
        <is>
          <t>数值 / mm</t>
        </is>
      </c>
      <c r="F5" s="15" t="inlineStr">
        <is>
          <t>采用</t>
        </is>
      </c>
      <c r="G5" s="15" t="inlineStr">
        <is>
          <t>说明</t>
        </is>
      </c>
    </row>
    <row r="6" ht="20" customHeight="1">
      <c r="A6" s="6" t="inlineStr">
        <is>
          <t>X板宽</t>
        </is>
      </c>
      <c r="B6" s="9" t="n">
        <v>1</v>
      </c>
      <c r="C6" s="6" t="inlineStr">
        <is>
          <t>左边距</t>
        </is>
      </c>
      <c r="D6" s="16" t="inlineStr">
        <is>
          <t>margin_x</t>
        </is>
      </c>
      <c r="E6" s="17">
        <f>margin_x</f>
        <v/>
      </c>
      <c r="F6" s="9" t="inlineStr">
        <is>
          <t>是</t>
        </is>
      </c>
      <c r="G6" s="6" t="inlineStr">
        <is>
          <t>板边到左列 HBM</t>
        </is>
      </c>
    </row>
    <row r="7" ht="20" customHeight="1">
      <c r="A7" s="6" t="inlineStr">
        <is>
          <t>X板宽</t>
        </is>
      </c>
      <c r="B7" s="9" t="n">
        <v>2</v>
      </c>
      <c r="C7" s="6" t="inlineStr">
        <is>
          <t>左列 HBM 宽</t>
        </is>
      </c>
      <c r="D7" s="16" t="inlineStr">
        <is>
          <t>hbm_w</t>
        </is>
      </c>
      <c r="E7" s="17">
        <f>hbm_w</f>
        <v/>
      </c>
      <c r="F7" s="9" t="inlineStr">
        <is>
          <t>是</t>
        </is>
      </c>
      <c r="G7" s="6" t="inlineStr">
        <is>
          <t>11 mm 列</t>
        </is>
      </c>
    </row>
    <row r="8" ht="20" customHeight="1">
      <c r="A8" s="6" t="inlineStr">
        <is>
          <t>X板宽</t>
        </is>
      </c>
      <c r="B8" s="9" t="n">
        <v>3</v>
      </c>
      <c r="C8" s="6" t="inlineStr">
        <is>
          <t>左列到左肋</t>
        </is>
      </c>
      <c r="D8" s="16" t="inlineStr">
        <is>
          <t>gap_rib</t>
        </is>
      </c>
      <c r="E8" s="17">
        <f>gap_rib</f>
        <v/>
      </c>
      <c r="F8" s="9" t="inlineStr">
        <is>
          <t>是</t>
        </is>
      </c>
      <c r="G8" s="6" t="inlineStr">
        <is>
          <t>缝</t>
        </is>
      </c>
    </row>
    <row r="9" ht="20" customHeight="1">
      <c r="A9" s="6" t="inlineStr">
        <is>
          <t>X板宽</t>
        </is>
      </c>
      <c r="B9" s="9" t="n">
        <v>4</v>
      </c>
      <c r="C9" s="6" t="inlineStr">
        <is>
          <t>左隔离肋</t>
        </is>
      </c>
      <c r="D9" s="16" t="inlineStr">
        <is>
          <t>rib_w</t>
        </is>
      </c>
      <c r="E9" s="17">
        <f>rib_w</f>
        <v/>
      </c>
      <c r="F9" s="9" t="inlineStr">
        <is>
          <t>是</t>
        </is>
      </c>
      <c r="G9" s="6" t="inlineStr"/>
    </row>
    <row r="10" ht="20" customHeight="1">
      <c r="A10" s="6" t="inlineStr">
        <is>
          <t>X板宽</t>
        </is>
      </c>
      <c r="B10" s="9" t="n">
        <v>5</v>
      </c>
      <c r="C10" s="6" t="inlineStr">
        <is>
          <t>左肋到 Die-A</t>
        </is>
      </c>
      <c r="D10" s="16" t="inlineStr">
        <is>
          <t>gap_rib</t>
        </is>
      </c>
      <c r="E10" s="17">
        <f>gap_rib</f>
        <v/>
      </c>
      <c r="F10" s="9" t="inlineStr">
        <is>
          <t>是</t>
        </is>
      </c>
      <c r="G10" s="6" t="inlineStr">
        <is>
          <t>缝</t>
        </is>
      </c>
    </row>
    <row r="11" ht="20" customHeight="1">
      <c r="A11" s="6" t="inlineStr">
        <is>
          <t>X板宽</t>
        </is>
      </c>
      <c r="B11" s="9" t="n">
        <v>6</v>
      </c>
      <c r="C11" s="6" t="inlineStr">
        <is>
          <t>Die-A</t>
        </is>
      </c>
      <c r="D11" s="16" t="inlineStr">
        <is>
          <t>die_w</t>
        </is>
      </c>
      <c r="E11" s="17">
        <f>die_w</f>
        <v/>
      </c>
      <c r="F11" s="9" t="inlineStr">
        <is>
          <t>是</t>
        </is>
      </c>
      <c r="G11" s="6" t="inlineStr"/>
    </row>
    <row r="12" ht="20" customHeight="1">
      <c r="A12" s="6" t="inlineStr">
        <is>
          <t>X板宽</t>
        </is>
      </c>
      <c r="B12" s="9" t="n">
        <v>7</v>
      </c>
      <c r="C12" s="6" t="inlineStr">
        <is>
          <t>NV-HBI</t>
        </is>
      </c>
      <c r="D12" s="16" t="inlineStr">
        <is>
          <t>hbi</t>
        </is>
      </c>
      <c r="E12" s="17">
        <f>hbi</f>
        <v/>
      </c>
      <c r="F12" s="9" t="inlineStr">
        <is>
          <t>是</t>
        </is>
      </c>
      <c r="G12" s="6" t="inlineStr">
        <is>
          <t>缝上不打密孔</t>
        </is>
      </c>
    </row>
    <row r="13" ht="20" customHeight="1">
      <c r="A13" s="6" t="inlineStr">
        <is>
          <t>X板宽</t>
        </is>
      </c>
      <c r="B13" s="9" t="n">
        <v>8</v>
      </c>
      <c r="C13" s="6" t="inlineStr">
        <is>
          <t>Die-B</t>
        </is>
      </c>
      <c r="D13" s="16" t="inlineStr">
        <is>
          <t>die_w</t>
        </is>
      </c>
      <c r="E13" s="17">
        <f>die_w</f>
        <v/>
      </c>
      <c r="F13" s="9" t="inlineStr">
        <is>
          <t>是</t>
        </is>
      </c>
      <c r="G13" s="6" t="inlineStr"/>
    </row>
    <row r="14" ht="20" customHeight="1">
      <c r="A14" s="6" t="inlineStr">
        <is>
          <t>X板宽</t>
        </is>
      </c>
      <c r="B14" s="9" t="n">
        <v>9</v>
      </c>
      <c r="C14" s="6" t="inlineStr">
        <is>
          <t>Die-B 到右肋</t>
        </is>
      </c>
      <c r="D14" s="16" t="inlineStr">
        <is>
          <t>gap_rib</t>
        </is>
      </c>
      <c r="E14" s="17">
        <f>gap_rib</f>
        <v/>
      </c>
      <c r="F14" s="9" t="inlineStr">
        <is>
          <t>是</t>
        </is>
      </c>
      <c r="G14" s="6" t="inlineStr">
        <is>
          <t>缝</t>
        </is>
      </c>
    </row>
    <row r="15" ht="20" customHeight="1">
      <c r="A15" s="6" t="inlineStr">
        <is>
          <t>X板宽</t>
        </is>
      </c>
      <c r="B15" s="9" t="n">
        <v>10</v>
      </c>
      <c r="C15" s="6" t="inlineStr">
        <is>
          <t>右隔离肋</t>
        </is>
      </c>
      <c r="D15" s="16" t="inlineStr">
        <is>
          <t>rib_w</t>
        </is>
      </c>
      <c r="E15" s="17">
        <f>rib_w</f>
        <v/>
      </c>
      <c r="F15" s="9" t="inlineStr">
        <is>
          <t>是</t>
        </is>
      </c>
      <c r="G15" s="6" t="inlineStr"/>
    </row>
    <row r="16" ht="20" customHeight="1">
      <c r="A16" s="6" t="inlineStr">
        <is>
          <t>X板宽</t>
        </is>
      </c>
      <c r="B16" s="9" t="n">
        <v>11</v>
      </c>
      <c r="C16" s="6" t="inlineStr">
        <is>
          <t>右肋到右列</t>
        </is>
      </c>
      <c r="D16" s="16" t="inlineStr">
        <is>
          <t>gap_rib</t>
        </is>
      </c>
      <c r="E16" s="17">
        <f>gap_rib</f>
        <v/>
      </c>
      <c r="F16" s="9" t="inlineStr">
        <is>
          <t>是</t>
        </is>
      </c>
      <c r="G16" s="6" t="inlineStr">
        <is>
          <t>缝</t>
        </is>
      </c>
    </row>
    <row r="17" ht="20" customHeight="1">
      <c r="A17" s="6" t="inlineStr">
        <is>
          <t>X板宽</t>
        </is>
      </c>
      <c r="B17" s="9" t="n">
        <v>12</v>
      </c>
      <c r="C17" s="6" t="inlineStr">
        <is>
          <t>右列 HBM 宽</t>
        </is>
      </c>
      <c r="D17" s="16" t="inlineStr">
        <is>
          <t>hbm_w</t>
        </is>
      </c>
      <c r="E17" s="17">
        <f>hbm_w</f>
        <v/>
      </c>
      <c r="F17" s="9" t="inlineStr">
        <is>
          <t>是</t>
        </is>
      </c>
      <c r="G17" s="6" t="inlineStr"/>
    </row>
    <row r="18" ht="20" customHeight="1">
      <c r="A18" s="6" t="inlineStr">
        <is>
          <t>X板宽</t>
        </is>
      </c>
      <c r="B18" s="9" t="n">
        <v>13</v>
      </c>
      <c r="C18" s="6" t="inlineStr">
        <is>
          <t>右边距</t>
        </is>
      </c>
      <c r="D18" s="16" t="inlineStr">
        <is>
          <t>margin_x</t>
        </is>
      </c>
      <c r="E18" s="17">
        <f>margin_x</f>
        <v/>
      </c>
      <c r="F18" s="9" t="inlineStr">
        <is>
          <t>是</t>
        </is>
      </c>
      <c r="G18" s="6" t="inlineStr">
        <is>
          <t>与左边距同一输入</t>
        </is>
      </c>
    </row>
    <row r="19">
      <c r="A19" s="18" t="n"/>
      <c r="B19" s="18" t="n"/>
      <c r="C19" s="19" t="inlineStr">
        <is>
          <t>组成环之和</t>
        </is>
      </c>
      <c r="D19" s="18" t="n"/>
      <c r="E19" s="20">
        <f>SUM(E6:E18)</f>
        <v/>
      </c>
      <c r="F19" s="18" t="n"/>
      <c r="G19" s="18" t="n"/>
    </row>
    <row r="20">
      <c r="A20" s="21" t="n"/>
      <c r="B20" s="21" t="n"/>
      <c r="C20" s="22" t="inlineStr">
        <is>
          <t>封闭环</t>
        </is>
      </c>
      <c r="D20" s="21" t="n"/>
      <c r="E20" s="23">
        <f>plate_L</f>
        <v/>
      </c>
      <c r="F20" s="21" t="n"/>
      <c r="G20" s="21" t="n"/>
    </row>
    <row r="21">
      <c r="A21" s="21" t="n"/>
      <c r="B21" s="21" t="n"/>
      <c r="C21" s="24" t="inlineStr">
        <is>
          <t>差值（和 − 封闭环）</t>
        </is>
      </c>
      <c r="D21" s="21" t="n"/>
      <c r="E21" s="25">
        <f>E19-E20</f>
        <v/>
      </c>
      <c r="F21" s="21" t="n"/>
      <c r="G21" s="21" t="n"/>
    </row>
    <row r="22" ht="22" customHeight="1">
      <c r="A22" s="21" t="n"/>
      <c r="B22" s="21" t="n"/>
      <c r="C22" s="22" t="inlineStr">
        <is>
          <t>判定</t>
        </is>
      </c>
      <c r="D22" s="21" t="n"/>
      <c r="E22" s="26">
        <f>IF(ABS(E19-E20)&lt;0.001,"闭合","不闭合")</f>
        <v/>
      </c>
      <c r="F22" s="21" t="n"/>
      <c r="G22" s="21" t="n"/>
    </row>
    <row r="24" ht="22" customHeight="1">
      <c r="A24" s="14" t="inlineStr">
        <is>
          <t>Y 向板长</t>
        </is>
      </c>
    </row>
    <row r="25">
      <c r="A25" s="15" t="inlineStr">
        <is>
          <t>链</t>
        </is>
      </c>
      <c r="B25" s="15" t="inlineStr">
        <is>
          <t>序号</t>
        </is>
      </c>
      <c r="C25" s="15" t="inlineStr">
        <is>
          <t>组成环</t>
        </is>
      </c>
      <c r="D25" s="15" t="inlineStr">
        <is>
          <t>计算式</t>
        </is>
      </c>
      <c r="E25" s="15" t="inlineStr">
        <is>
          <t>数值 / mm</t>
        </is>
      </c>
      <c r="F25" s="15" t="inlineStr">
        <is>
          <t>采用</t>
        </is>
      </c>
      <c r="G25" s="15" t="inlineStr">
        <is>
          <t>说明</t>
        </is>
      </c>
    </row>
    <row r="26" ht="20" customHeight="1">
      <c r="A26" s="6" t="inlineStr">
        <is>
          <t>Y板长</t>
        </is>
      </c>
      <c r="B26" s="9" t="n">
        <v>1</v>
      </c>
      <c r="C26" s="6" t="inlineStr">
        <is>
          <t>下边距</t>
        </is>
      </c>
      <c r="D26" s="16" t="inlineStr">
        <is>
          <t>y_end</t>
        </is>
      </c>
      <c r="E26" s="17">
        <f>y_end</f>
        <v/>
      </c>
      <c r="F26" s="9" t="inlineStr">
        <is>
          <t>是</t>
        </is>
      </c>
      <c r="G26" s="6" t="inlineStr">
        <is>
          <t>板边到隔离肋下端，也是首颗 HBM 的 y</t>
        </is>
      </c>
    </row>
    <row r="27" ht="20" customHeight="1">
      <c r="A27" s="6" t="inlineStr">
        <is>
          <t>Y板长</t>
        </is>
      </c>
      <c r="B27" s="9" t="n">
        <v>2</v>
      </c>
      <c r="C27" s="6" t="inlineStr">
        <is>
          <t>肋长 / 四颗 HBM 列长</t>
        </is>
      </c>
      <c r="D27" s="16" t="inlineStr">
        <is>
          <t>col_len</t>
        </is>
      </c>
      <c r="E27" s="17">
        <f>col_len</f>
        <v/>
      </c>
      <c r="F27" s="9" t="inlineStr">
        <is>
          <t>是</t>
        </is>
      </c>
      <c r="G27" s="6" t="inlineStr">
        <is>
          <t>12.5 到 62.5</t>
        </is>
      </c>
    </row>
    <row r="28" ht="20" customHeight="1">
      <c r="A28" s="6" t="inlineStr">
        <is>
          <t>Y板长</t>
        </is>
      </c>
      <c r="B28" s="9" t="n">
        <v>3</v>
      </c>
      <c r="C28" s="6" t="inlineStr">
        <is>
          <t>上边距</t>
        </is>
      </c>
      <c r="D28" s="16" t="inlineStr">
        <is>
          <t>y_end</t>
        </is>
      </c>
      <c r="E28" s="17">
        <f>y_end</f>
        <v/>
      </c>
      <c r="F28" s="9" t="inlineStr">
        <is>
          <t>是</t>
        </is>
      </c>
      <c r="G28" s="6" t="inlineStr"/>
    </row>
    <row r="29">
      <c r="A29" s="18" t="n"/>
      <c r="B29" s="18" t="n"/>
      <c r="C29" s="19" t="inlineStr">
        <is>
          <t>组成环之和</t>
        </is>
      </c>
      <c r="D29" s="18" t="n"/>
      <c r="E29" s="20">
        <f>SUM(E26:E28)</f>
        <v/>
      </c>
      <c r="F29" s="18" t="n"/>
      <c r="G29" s="18" t="n"/>
    </row>
    <row r="30">
      <c r="A30" s="21" t="n"/>
      <c r="B30" s="21" t="n"/>
      <c r="C30" s="22" t="inlineStr">
        <is>
          <t>封闭环</t>
        </is>
      </c>
      <c r="D30" s="21" t="n"/>
      <c r="E30" s="23">
        <f>plate_W</f>
        <v/>
      </c>
      <c r="F30" s="21" t="n"/>
      <c r="G30" s="21" t="n"/>
    </row>
    <row r="31">
      <c r="A31" s="21" t="n"/>
      <c r="B31" s="21" t="n"/>
      <c r="C31" s="24" t="inlineStr">
        <is>
          <t>差值（和 − 封闭环）</t>
        </is>
      </c>
      <c r="D31" s="21" t="n"/>
      <c r="E31" s="25">
        <f>E29-E30</f>
        <v/>
      </c>
      <c r="F31" s="21" t="n"/>
      <c r="G31" s="21" t="n"/>
    </row>
    <row r="32" ht="22" customHeight="1">
      <c r="A32" s="21" t="n"/>
      <c r="B32" s="21" t="n"/>
      <c r="C32" s="22" t="inlineStr">
        <is>
          <t>判定</t>
        </is>
      </c>
      <c r="D32" s="21" t="n"/>
      <c r="E32" s="26">
        <f>IF(ABS(E29-E30)&lt;0.001,"闭合","不闭合")</f>
        <v/>
      </c>
      <c r="F32" s="21" t="n"/>
      <c r="G32" s="21" t="n"/>
    </row>
    <row r="34" ht="22" customHeight="1">
      <c r="A34" s="14" t="inlineStr">
        <is>
          <t>Die-A 左缘坐标</t>
        </is>
      </c>
    </row>
    <row r="35">
      <c r="A35" s="15" t="inlineStr">
        <is>
          <t>链</t>
        </is>
      </c>
      <c r="B35" s="15" t="inlineStr">
        <is>
          <t>序号</t>
        </is>
      </c>
      <c r="C35" s="15" t="inlineStr">
        <is>
          <t>组成环</t>
        </is>
      </c>
      <c r="D35" s="15" t="inlineStr">
        <is>
          <t>计算式</t>
        </is>
      </c>
      <c r="E35" s="15" t="inlineStr">
        <is>
          <t>数值 / mm</t>
        </is>
      </c>
      <c r="F35" s="15" t="inlineStr">
        <is>
          <t>采用</t>
        </is>
      </c>
      <c r="G35" s="15" t="inlineStr">
        <is>
          <t>说明</t>
        </is>
      </c>
    </row>
    <row r="36" ht="20" customHeight="1">
      <c r="A36" s="6" t="inlineStr">
        <is>
          <t>DieA左缘</t>
        </is>
      </c>
      <c r="B36" s="9" t="n">
        <v>1</v>
      </c>
      <c r="C36" s="6" t="inlineStr">
        <is>
          <t>左边距</t>
        </is>
      </c>
      <c r="D36" s="16" t="inlineStr">
        <is>
          <t>margin_x</t>
        </is>
      </c>
      <c r="E36" s="17">
        <f>margin_x</f>
        <v/>
      </c>
      <c r="F36" s="9" t="inlineStr">
        <is>
          <t>是</t>
        </is>
      </c>
      <c r="G36" s="6" t="inlineStr"/>
    </row>
    <row r="37" ht="20" customHeight="1">
      <c r="A37" s="6" t="inlineStr">
        <is>
          <t>DieA左缘</t>
        </is>
      </c>
      <c r="B37" s="9" t="n">
        <v>2</v>
      </c>
      <c r="C37" s="6" t="inlineStr">
        <is>
          <t>左列</t>
        </is>
      </c>
      <c r="D37" s="16" t="inlineStr">
        <is>
          <t>hbm_w</t>
        </is>
      </c>
      <c r="E37" s="17">
        <f>hbm_w</f>
        <v/>
      </c>
      <c r="F37" s="9" t="inlineStr">
        <is>
          <t>是</t>
        </is>
      </c>
      <c r="G37" s="6" t="inlineStr"/>
    </row>
    <row r="38" ht="20" customHeight="1">
      <c r="A38" s="6" t="inlineStr">
        <is>
          <t>DieA左缘</t>
        </is>
      </c>
      <c r="B38" s="9" t="n">
        <v>3</v>
      </c>
      <c r="C38" s="6" t="inlineStr">
        <is>
          <t>缝</t>
        </is>
      </c>
      <c r="D38" s="16" t="inlineStr">
        <is>
          <t>gap_rib</t>
        </is>
      </c>
      <c r="E38" s="17">
        <f>gap_rib</f>
        <v/>
      </c>
      <c r="F38" s="9" t="inlineStr">
        <is>
          <t>是</t>
        </is>
      </c>
      <c r="G38" s="6" t="inlineStr"/>
    </row>
    <row r="39" ht="20" customHeight="1">
      <c r="A39" s="6" t="inlineStr">
        <is>
          <t>DieA左缘</t>
        </is>
      </c>
      <c r="B39" s="9" t="n">
        <v>4</v>
      </c>
      <c r="C39" s="6" t="inlineStr">
        <is>
          <t>肋</t>
        </is>
      </c>
      <c r="D39" s="16" t="inlineStr">
        <is>
          <t>rib_w</t>
        </is>
      </c>
      <c r="E39" s="17">
        <f>rib_w</f>
        <v/>
      </c>
      <c r="F39" s="9" t="inlineStr">
        <is>
          <t>是</t>
        </is>
      </c>
      <c r="G39" s="6" t="inlineStr"/>
    </row>
    <row r="40" ht="20" customHeight="1">
      <c r="A40" s="6" t="inlineStr">
        <is>
          <t>DieA左缘</t>
        </is>
      </c>
      <c r="B40" s="9" t="n">
        <v>5</v>
      </c>
      <c r="C40" s="6" t="inlineStr">
        <is>
          <t>缝</t>
        </is>
      </c>
      <c r="D40" s="16" t="inlineStr">
        <is>
          <t>gap_rib</t>
        </is>
      </c>
      <c r="E40" s="17">
        <f>gap_rib</f>
        <v/>
      </c>
      <c r="F40" s="9" t="inlineStr">
        <is>
          <t>是</t>
        </is>
      </c>
      <c r="G40" s="6" t="inlineStr"/>
    </row>
    <row r="41">
      <c r="A41" s="18" t="n"/>
      <c r="B41" s="18" t="n"/>
      <c r="C41" s="19" t="inlineStr">
        <is>
          <t>组成环之和</t>
        </is>
      </c>
      <c r="D41" s="18" t="n"/>
      <c r="E41" s="20">
        <f>SUM(E36:E40)</f>
        <v/>
      </c>
      <c r="F41" s="18" t="n"/>
      <c r="G41" s="18" t="n"/>
    </row>
    <row r="42">
      <c r="A42" s="21" t="n"/>
      <c r="B42" s="21" t="n"/>
      <c r="C42" s="22" t="inlineStr">
        <is>
          <t>封闭环</t>
        </is>
      </c>
      <c r="D42" s="21" t="n"/>
      <c r="E42" s="23">
        <f>die_ax</f>
        <v/>
      </c>
      <c r="F42" s="21" t="n"/>
      <c r="G42" s="21" t="n"/>
    </row>
    <row r="43">
      <c r="A43" s="21" t="n"/>
      <c r="B43" s="21" t="n"/>
      <c r="C43" s="24" t="inlineStr">
        <is>
          <t>差值（和 − 封闭环）</t>
        </is>
      </c>
      <c r="D43" s="21" t="n"/>
      <c r="E43" s="25">
        <f>E41-E42</f>
        <v/>
      </c>
      <c r="F43" s="21" t="n"/>
      <c r="G43" s="21" t="n"/>
    </row>
    <row r="44" ht="22" customHeight="1">
      <c r="A44" s="21" t="n"/>
      <c r="B44" s="21" t="n"/>
      <c r="C44" s="22" t="inlineStr">
        <is>
          <t>判定</t>
        </is>
      </c>
      <c r="D44" s="21" t="n"/>
      <c r="E44" s="26">
        <f>IF(ABS(E41-E42)&lt;0.001,"闭合","不闭合")</f>
        <v/>
      </c>
      <c r="F44" s="21" t="n"/>
      <c r="G44" s="21" t="n"/>
    </row>
    <row r="46" ht="22" customHeight="1">
      <c r="A46" s="14" t="inlineStr">
        <is>
          <t>Die-B 左缘坐标</t>
        </is>
      </c>
    </row>
    <row r="47">
      <c r="A47" s="15" t="inlineStr">
        <is>
          <t>链</t>
        </is>
      </c>
      <c r="B47" s="15" t="inlineStr">
        <is>
          <t>序号</t>
        </is>
      </c>
      <c r="C47" s="15" t="inlineStr">
        <is>
          <t>组成环</t>
        </is>
      </c>
      <c r="D47" s="15" t="inlineStr">
        <is>
          <t>计算式</t>
        </is>
      </c>
      <c r="E47" s="15" t="inlineStr">
        <is>
          <t>数值 / mm</t>
        </is>
      </c>
      <c r="F47" s="15" t="inlineStr">
        <is>
          <t>采用</t>
        </is>
      </c>
      <c r="G47" s="15" t="inlineStr">
        <is>
          <t>说明</t>
        </is>
      </c>
    </row>
    <row r="48" ht="20" customHeight="1">
      <c r="A48" s="6" t="inlineStr">
        <is>
          <t>DieB左缘</t>
        </is>
      </c>
      <c r="B48" s="9" t="n">
        <v>1</v>
      </c>
      <c r="C48" s="6" t="inlineStr">
        <is>
          <t>Die-A 左缘</t>
        </is>
      </c>
      <c r="D48" s="16" t="inlineStr">
        <is>
          <t>die_ax</t>
        </is>
      </c>
      <c r="E48" s="17">
        <f>die_ax</f>
        <v/>
      </c>
      <c r="F48" s="9" t="inlineStr">
        <is>
          <t>是</t>
        </is>
      </c>
      <c r="G48" s="6" t="inlineStr"/>
    </row>
    <row r="49" ht="20" customHeight="1">
      <c r="A49" s="6" t="inlineStr">
        <is>
          <t>DieB左缘</t>
        </is>
      </c>
      <c r="B49" s="9" t="n">
        <v>2</v>
      </c>
      <c r="C49" s="6" t="inlineStr">
        <is>
          <t>Die-A 宽</t>
        </is>
      </c>
      <c r="D49" s="16" t="inlineStr">
        <is>
          <t>die_w</t>
        </is>
      </c>
      <c r="E49" s="17">
        <f>die_w</f>
        <v/>
      </c>
      <c r="F49" s="9" t="inlineStr">
        <is>
          <t>是</t>
        </is>
      </c>
      <c r="G49" s="6" t="inlineStr"/>
    </row>
    <row r="50" ht="20" customHeight="1">
      <c r="A50" s="6" t="inlineStr">
        <is>
          <t>DieB左缘</t>
        </is>
      </c>
      <c r="B50" s="9" t="n">
        <v>3</v>
      </c>
      <c r="C50" s="6" t="inlineStr">
        <is>
          <t>HBI</t>
        </is>
      </c>
      <c r="D50" s="16" t="inlineStr">
        <is>
          <t>hbi</t>
        </is>
      </c>
      <c r="E50" s="17">
        <f>hbi</f>
        <v/>
      </c>
      <c r="F50" s="9" t="inlineStr">
        <is>
          <t>是</t>
        </is>
      </c>
      <c r="G50" s="6" t="inlineStr"/>
    </row>
    <row r="51">
      <c r="A51" s="18" t="n"/>
      <c r="B51" s="18" t="n"/>
      <c r="C51" s="19" t="inlineStr">
        <is>
          <t>组成环之和</t>
        </is>
      </c>
      <c r="D51" s="18" t="n"/>
      <c r="E51" s="20">
        <f>SUM(E48:E50)</f>
        <v/>
      </c>
      <c r="F51" s="18" t="n"/>
      <c r="G51" s="18" t="n"/>
    </row>
    <row r="52">
      <c r="A52" s="21" t="n"/>
      <c r="B52" s="21" t="n"/>
      <c r="C52" s="22" t="inlineStr">
        <is>
          <t>封闭环</t>
        </is>
      </c>
      <c r="D52" s="21" t="n"/>
      <c r="E52" s="23">
        <f>die_bx</f>
        <v/>
      </c>
      <c r="F52" s="21" t="n"/>
      <c r="G52" s="21" t="n"/>
    </row>
    <row r="53">
      <c r="A53" s="21" t="n"/>
      <c r="B53" s="21" t="n"/>
      <c r="C53" s="24" t="inlineStr">
        <is>
          <t>差值（和 − 封闭环）</t>
        </is>
      </c>
      <c r="D53" s="21" t="n"/>
      <c r="E53" s="25">
        <f>E51-E52</f>
        <v/>
      </c>
      <c r="F53" s="21" t="n"/>
      <c r="G53" s="21" t="n"/>
    </row>
    <row r="54" ht="22" customHeight="1">
      <c r="A54" s="21" t="n"/>
      <c r="B54" s="21" t="n"/>
      <c r="C54" s="22" t="inlineStr">
        <is>
          <t>判定</t>
        </is>
      </c>
      <c r="D54" s="21" t="n"/>
      <c r="E54" s="26">
        <f>IF(ABS(E51-E52)&lt;0.001,"闭合","不闭合")</f>
        <v/>
      </c>
      <c r="F54" s="21" t="n"/>
      <c r="G54" s="21" t="n"/>
    </row>
    <row r="56" ht="22" customHeight="1">
      <c r="A56" s="14" t="inlineStr">
        <is>
          <t>右列 HBM 的 x</t>
        </is>
      </c>
    </row>
    <row r="57">
      <c r="A57" s="15" t="inlineStr">
        <is>
          <t>链</t>
        </is>
      </c>
      <c r="B57" s="15" t="inlineStr">
        <is>
          <t>序号</t>
        </is>
      </c>
      <c r="C57" s="15" t="inlineStr">
        <is>
          <t>组成环</t>
        </is>
      </c>
      <c r="D57" s="15" t="inlineStr">
        <is>
          <t>计算式</t>
        </is>
      </c>
      <c r="E57" s="15" t="inlineStr">
        <is>
          <t>数值 / mm</t>
        </is>
      </c>
      <c r="F57" s="15" t="inlineStr">
        <is>
          <t>采用</t>
        </is>
      </c>
      <c r="G57" s="15" t="inlineStr">
        <is>
          <t>说明</t>
        </is>
      </c>
    </row>
    <row r="58" ht="20" customHeight="1">
      <c r="A58" s="6" t="inlineStr">
        <is>
          <t>右列起点</t>
        </is>
      </c>
      <c r="B58" s="9" t="n">
        <v>1</v>
      </c>
      <c r="C58" s="6" t="inlineStr">
        <is>
          <t>板宽</t>
        </is>
      </c>
      <c r="D58" s="16" t="inlineStr">
        <is>
          <t>plate_L</t>
        </is>
      </c>
      <c r="E58" s="17">
        <f>plate_L</f>
        <v/>
      </c>
      <c r="F58" s="9" t="inlineStr">
        <is>
          <t>是</t>
        </is>
      </c>
      <c r="G58" s="6" t="inlineStr"/>
    </row>
    <row r="59" ht="20" customHeight="1">
      <c r="A59" s="6" t="inlineStr">
        <is>
          <t>右列起点</t>
        </is>
      </c>
      <c r="B59" s="9" t="n">
        <v>2</v>
      </c>
      <c r="C59" s="6" t="inlineStr">
        <is>
          <t>右边距（减）</t>
        </is>
      </c>
      <c r="D59" s="16" t="inlineStr">
        <is>
          <t>-margin_x</t>
        </is>
      </c>
      <c r="E59" s="17">
        <f>-margin_x</f>
        <v/>
      </c>
      <c r="F59" s="9" t="inlineStr">
        <is>
          <t>是</t>
        </is>
      </c>
      <c r="G59" s="6" t="inlineStr">
        <is>
          <t>减环</t>
        </is>
      </c>
    </row>
    <row r="60" ht="20" customHeight="1">
      <c r="A60" s="6" t="inlineStr">
        <is>
          <t>右列起点</t>
        </is>
      </c>
      <c r="B60" s="9" t="n">
        <v>3</v>
      </c>
      <c r="C60" s="6" t="inlineStr">
        <is>
          <t>列宽（减）</t>
        </is>
      </c>
      <c r="D60" s="16" t="inlineStr">
        <is>
          <t>-hbm_w</t>
        </is>
      </c>
      <c r="E60" s="17">
        <f>-hbm_w</f>
        <v/>
      </c>
      <c r="F60" s="9" t="inlineStr">
        <is>
          <t>是</t>
        </is>
      </c>
      <c r="G60" s="6" t="inlineStr">
        <is>
          <t>减环</t>
        </is>
      </c>
    </row>
    <row r="61">
      <c r="A61" s="18" t="n"/>
      <c r="B61" s="18" t="n"/>
      <c r="C61" s="19" t="inlineStr">
        <is>
          <t>组成环之和</t>
        </is>
      </c>
      <c r="D61" s="18" t="n"/>
      <c r="E61" s="20">
        <f>SUM(E58:E60)</f>
        <v/>
      </c>
      <c r="F61" s="18" t="n"/>
      <c r="G61" s="18" t="n"/>
    </row>
    <row r="62">
      <c r="A62" s="21" t="n"/>
      <c r="B62" s="21" t="n"/>
      <c r="C62" s="22" t="inlineStr">
        <is>
          <t>封闭环</t>
        </is>
      </c>
      <c r="D62" s="21" t="n"/>
      <c r="E62" s="23">
        <f>hbm_xr</f>
        <v/>
      </c>
      <c r="F62" s="21" t="n"/>
      <c r="G62" s="21" t="n"/>
    </row>
    <row r="63">
      <c r="A63" s="21" t="n"/>
      <c r="B63" s="21" t="n"/>
      <c r="C63" s="24" t="inlineStr">
        <is>
          <t>差值（和 − 封闭环）</t>
        </is>
      </c>
      <c r="D63" s="21" t="n"/>
      <c r="E63" s="25">
        <f>E61-E62</f>
        <v/>
      </c>
      <c r="F63" s="21" t="n"/>
      <c r="G63" s="21" t="n"/>
    </row>
    <row r="64" ht="22" customHeight="1">
      <c r="A64" s="21" t="n"/>
      <c r="B64" s="21" t="n"/>
      <c r="C64" s="22" t="inlineStr">
        <is>
          <t>判定</t>
        </is>
      </c>
      <c r="D64" s="21" t="n"/>
      <c r="E64" s="26">
        <f>IF(ABS(E61-E62)&lt;0.001,"闭合","不闭合")</f>
        <v/>
      </c>
      <c r="F64" s="21" t="n"/>
      <c r="G64" s="21" t="n"/>
    </row>
    <row r="66" ht="22" customHeight="1">
      <c r="A66" s="14" t="inlineStr">
        <is>
          <t>腔体厚度（不含钎缝）</t>
        </is>
      </c>
    </row>
    <row r="67">
      <c r="A67" s="15" t="inlineStr">
        <is>
          <t>链</t>
        </is>
      </c>
      <c r="B67" s="15" t="inlineStr">
        <is>
          <t>序号</t>
        </is>
      </c>
      <c r="C67" s="15" t="inlineStr">
        <is>
          <t>组成环</t>
        </is>
      </c>
      <c r="D67" s="15" t="inlineStr">
        <is>
          <t>计算式</t>
        </is>
      </c>
      <c r="E67" s="15" t="inlineStr">
        <is>
          <t>数值 / mm</t>
        </is>
      </c>
      <c r="F67" s="15" t="inlineStr">
        <is>
          <t>采用</t>
        </is>
      </c>
      <c r="G67" s="15" t="inlineStr">
        <is>
          <t>说明</t>
        </is>
      </c>
    </row>
    <row r="68" ht="20" customHeight="1">
      <c r="A68" s="6" t="inlineStr">
        <is>
          <t>腔厚</t>
        </is>
      </c>
      <c r="B68" s="9" t="n">
        <v>1</v>
      </c>
      <c r="C68" s="6" t="inlineStr">
        <is>
          <t>余铜</t>
        </is>
      </c>
      <c r="D68" s="16" t="inlineStr">
        <is>
          <t>base_cu</t>
        </is>
      </c>
      <c r="E68" s="17">
        <f>base_cu</f>
        <v/>
      </c>
      <c r="F68" s="9" t="inlineStr">
        <is>
          <t>是</t>
        </is>
      </c>
      <c r="G68" s="6" t="inlineStr">
        <is>
          <t>接触面以上</t>
        </is>
      </c>
    </row>
    <row r="69" ht="20" customHeight="1">
      <c r="A69" s="6" t="inlineStr">
        <is>
          <t>腔厚</t>
        </is>
      </c>
      <c r="B69" s="9" t="n">
        <v>2</v>
      </c>
      <c r="C69" s="6" t="inlineStr">
        <is>
          <t>短槽深</t>
        </is>
      </c>
      <c r="D69" s="16" t="inlineStr">
        <is>
          <t>groove_h</t>
        </is>
      </c>
      <c r="E69" s="17">
        <f>groove_h</f>
        <v/>
      </c>
      <c r="F69" s="9" t="inlineStr">
        <is>
          <t>是</t>
        </is>
      </c>
      <c r="G69" s="6" t="inlineStr"/>
    </row>
    <row r="70" ht="20" customHeight="1">
      <c r="A70" s="6" t="inlineStr">
        <is>
          <t>腔厚</t>
        </is>
      </c>
      <c r="B70" s="9" t="n">
        <v>3</v>
      </c>
      <c r="C70" s="6" t="inlineStr">
        <is>
          <t>喷距</t>
        </is>
      </c>
      <c r="D70" s="16" t="inlineStr">
        <is>
          <t>jet_h</t>
        </is>
      </c>
      <c r="E70" s="17">
        <f>jet_h</f>
        <v/>
      </c>
      <c r="F70" s="9" t="inlineStr">
        <is>
          <t>是</t>
        </is>
      </c>
      <c r="G70" s="6" t="inlineStr"/>
    </row>
    <row r="71" ht="20" customHeight="1">
      <c r="A71" s="6" t="inlineStr">
        <is>
          <t>腔厚</t>
        </is>
      </c>
      <c r="B71" s="9" t="n">
        <v>4</v>
      </c>
      <c r="C71" s="6" t="inlineStr">
        <is>
          <t>喷嘴板</t>
        </is>
      </c>
      <c r="D71" s="16" t="inlineStr">
        <is>
          <t>lid_t</t>
        </is>
      </c>
      <c r="E71" s="17">
        <f>lid_t</f>
        <v/>
      </c>
      <c r="F71" s="9" t="inlineStr">
        <is>
          <t>是</t>
        </is>
      </c>
      <c r="G71" s="6" t="inlineStr"/>
    </row>
    <row r="72">
      <c r="A72" s="18" t="n"/>
      <c r="B72" s="18" t="n"/>
      <c r="C72" s="19" t="inlineStr">
        <is>
          <t>组成环之和</t>
        </is>
      </c>
      <c r="D72" s="18" t="n"/>
      <c r="E72" s="20">
        <f>SUM(E68:E71)</f>
        <v/>
      </c>
      <c r="F72" s="18" t="n"/>
      <c r="G72" s="18" t="n"/>
    </row>
    <row r="73">
      <c r="A73" s="21" t="n"/>
      <c r="B73" s="21" t="n"/>
      <c r="C73" s="22" t="inlineStr">
        <is>
          <t>封闭环</t>
        </is>
      </c>
      <c r="D73" s="21" t="n"/>
      <c r="E73" s="23">
        <f>cav_t</f>
        <v/>
      </c>
      <c r="F73" s="21" t="n"/>
      <c r="G73" s="21" t="n"/>
    </row>
    <row r="74">
      <c r="A74" s="21" t="n"/>
      <c r="B74" s="21" t="n"/>
      <c r="C74" s="24" t="inlineStr">
        <is>
          <t>差值（和 − 封闭环）</t>
        </is>
      </c>
      <c r="D74" s="21" t="n"/>
      <c r="E74" s="25">
        <f>E72-E73</f>
        <v/>
      </c>
      <c r="F74" s="21" t="n"/>
      <c r="G74" s="21" t="n"/>
    </row>
    <row r="75" ht="22" customHeight="1">
      <c r="A75" s="21" t="n"/>
      <c r="B75" s="21" t="n"/>
      <c r="C75" s="22" t="inlineStr">
        <is>
          <t>判定</t>
        </is>
      </c>
      <c r="D75" s="21" t="n"/>
      <c r="E75" s="26">
        <f>IF(ABS(E72-E73)&lt;0.001,"闭合","不闭合")</f>
        <v/>
      </c>
      <c r="F75" s="21" t="n"/>
      <c r="G75" s="21" t="n"/>
    </row>
    <row r="77" ht="22" customHeight="1">
      <c r="A77" s="14" t="inlineStr">
        <is>
          <t>外形厚度</t>
        </is>
      </c>
    </row>
    <row r="78">
      <c r="A78" s="15" t="inlineStr">
        <is>
          <t>链</t>
        </is>
      </c>
      <c r="B78" s="15" t="inlineStr">
        <is>
          <t>序号</t>
        </is>
      </c>
      <c r="C78" s="15" t="inlineStr">
        <is>
          <t>组成环</t>
        </is>
      </c>
      <c r="D78" s="15" t="inlineStr">
        <is>
          <t>计算式</t>
        </is>
      </c>
      <c r="E78" s="15" t="inlineStr">
        <is>
          <t>数值 / mm</t>
        </is>
      </c>
      <c r="F78" s="15" t="inlineStr">
        <is>
          <t>采用</t>
        </is>
      </c>
      <c r="G78" s="15" t="inlineStr">
        <is>
          <t>说明</t>
        </is>
      </c>
    </row>
    <row r="79" ht="20" customHeight="1">
      <c r="A79" s="6" t="inlineStr">
        <is>
          <t>外形厚</t>
        </is>
      </c>
      <c r="B79" s="9" t="n">
        <v>1</v>
      </c>
      <c r="C79" s="6" t="inlineStr">
        <is>
          <t>余铜</t>
        </is>
      </c>
      <c r="D79" s="16" t="inlineStr">
        <is>
          <t>base_cu</t>
        </is>
      </c>
      <c r="E79" s="17">
        <f>base_cu</f>
        <v/>
      </c>
      <c r="F79" s="9" t="inlineStr">
        <is>
          <t>是</t>
        </is>
      </c>
      <c r="G79" s="6" t="inlineStr"/>
    </row>
    <row r="80" ht="20" customHeight="1">
      <c r="A80" s="6" t="inlineStr">
        <is>
          <t>外形厚</t>
        </is>
      </c>
      <c r="B80" s="9" t="n">
        <v>2</v>
      </c>
      <c r="C80" s="6" t="inlineStr">
        <is>
          <t>短槽深</t>
        </is>
      </c>
      <c r="D80" s="16" t="inlineStr">
        <is>
          <t>groove_h</t>
        </is>
      </c>
      <c r="E80" s="17">
        <f>groove_h</f>
        <v/>
      </c>
      <c r="F80" s="9" t="inlineStr">
        <is>
          <t>是</t>
        </is>
      </c>
      <c r="G80" s="6" t="inlineStr"/>
    </row>
    <row r="81" ht="20" customHeight="1">
      <c r="A81" s="6" t="inlineStr">
        <is>
          <t>外形厚</t>
        </is>
      </c>
      <c r="B81" s="9" t="n">
        <v>3</v>
      </c>
      <c r="C81" s="6" t="inlineStr">
        <is>
          <t>喷距</t>
        </is>
      </c>
      <c r="D81" s="16" t="inlineStr">
        <is>
          <t>jet_h</t>
        </is>
      </c>
      <c r="E81" s="17">
        <f>jet_h</f>
        <v/>
      </c>
      <c r="F81" s="9" t="inlineStr">
        <is>
          <t>是</t>
        </is>
      </c>
      <c r="G81" s="6" t="inlineStr"/>
    </row>
    <row r="82" ht="20" customHeight="1">
      <c r="A82" s="6" t="inlineStr">
        <is>
          <t>外形厚</t>
        </is>
      </c>
      <c r="B82" s="9" t="n">
        <v>4</v>
      </c>
      <c r="C82" s="6" t="inlineStr">
        <is>
          <t>喷嘴板</t>
        </is>
      </c>
      <c r="D82" s="16" t="inlineStr">
        <is>
          <t>lid_t</t>
        </is>
      </c>
      <c r="E82" s="17">
        <f>lid_t</f>
        <v/>
      </c>
      <c r="F82" s="9" t="inlineStr">
        <is>
          <t>是</t>
        </is>
      </c>
      <c r="G82" s="6" t="inlineStr"/>
    </row>
    <row r="83" ht="20" customHeight="1">
      <c r="A83" s="6" t="inlineStr">
        <is>
          <t>外形厚</t>
        </is>
      </c>
      <c r="B83" s="9" t="n">
        <v>5</v>
      </c>
      <c r="C83" s="6" t="inlineStr">
        <is>
          <t>周边钎缝 / 水嘴台阶</t>
        </is>
      </c>
      <c r="D83" s="16" t="inlineStr">
        <is>
          <t>braze</t>
        </is>
      </c>
      <c r="E83" s="17">
        <f>braze</f>
        <v/>
      </c>
      <c r="F83" s="9" t="inlineStr">
        <is>
          <t>是</t>
        </is>
      </c>
      <c r="G83" s="6" t="inlineStr"/>
    </row>
    <row r="84">
      <c r="A84" s="18" t="n"/>
      <c r="B84" s="18" t="n"/>
      <c r="C84" s="19" t="inlineStr">
        <is>
          <t>组成环之和</t>
        </is>
      </c>
      <c r="D84" s="18" t="n"/>
      <c r="E84" s="20">
        <f>SUM(E79:E83)</f>
        <v/>
      </c>
      <c r="F84" s="18" t="n"/>
      <c r="G84" s="18" t="n"/>
    </row>
    <row r="85">
      <c r="A85" s="21" t="n"/>
      <c r="B85" s="21" t="n"/>
      <c r="C85" s="22" t="inlineStr">
        <is>
          <t>封闭环</t>
        </is>
      </c>
      <c r="D85" s="21" t="n"/>
      <c r="E85" s="23">
        <f>plate_T</f>
        <v/>
      </c>
      <c r="F85" s="21" t="n"/>
      <c r="G85" s="21" t="n"/>
    </row>
    <row r="86">
      <c r="A86" s="21" t="n"/>
      <c r="B86" s="21" t="n"/>
      <c r="C86" s="24" t="inlineStr">
        <is>
          <t>差值（和 − 封闭环）</t>
        </is>
      </c>
      <c r="D86" s="21" t="n"/>
      <c r="E86" s="25">
        <f>E84-E85</f>
        <v/>
      </c>
      <c r="F86" s="21" t="n"/>
      <c r="G86" s="21" t="n"/>
    </row>
    <row r="87" ht="22" customHeight="1">
      <c r="A87" s="21" t="n"/>
      <c r="B87" s="21" t="n"/>
      <c r="C87" s="22" t="inlineStr">
        <is>
          <t>判定</t>
        </is>
      </c>
      <c r="D87" s="21" t="n"/>
      <c r="E87" s="26">
        <f>IF(ABS(E84-E85)&lt;0.001,"闭合","不闭合")</f>
        <v/>
      </c>
      <c r="F87" s="21" t="n"/>
      <c r="G87" s="21" t="n"/>
    </row>
    <row r="89" ht="22" customHeight="1">
      <c r="A89" s="14" t="inlineStr">
        <is>
          <t>单 die 射流覆盖长度 X</t>
        </is>
      </c>
    </row>
    <row r="90">
      <c r="A90" s="15" t="inlineStr">
        <is>
          <t>链</t>
        </is>
      </c>
      <c r="B90" s="15" t="inlineStr">
        <is>
          <t>序号</t>
        </is>
      </c>
      <c r="C90" s="15" t="inlineStr">
        <is>
          <t>组成环</t>
        </is>
      </c>
      <c r="D90" s="15" t="inlineStr">
        <is>
          <t>计算式</t>
        </is>
      </c>
      <c r="E90" s="15" t="inlineStr">
        <is>
          <t>数值 / mm</t>
        </is>
      </c>
      <c r="F90" s="15" t="inlineStr">
        <is>
          <t>采用</t>
        </is>
      </c>
      <c r="G90" s="15" t="inlineStr">
        <is>
          <t>说明</t>
        </is>
      </c>
    </row>
    <row r="91" ht="20" customHeight="1">
      <c r="A91" s="6" t="inlineStr">
        <is>
          <t>覆盖X</t>
        </is>
      </c>
      <c r="B91" s="9" t="n">
        <v>1</v>
      </c>
      <c r="C91" s="6" t="inlineStr">
        <is>
          <t>9 格 × X 节距</t>
        </is>
      </c>
      <c r="D91" s="16" t="inlineStr">
        <is>
          <t>n_jx*pitch_x</t>
        </is>
      </c>
      <c r="E91" s="17">
        <f>n_jx*pitch_x</f>
        <v/>
      </c>
      <c r="F91" s="9" t="inlineStr">
        <is>
          <t>是</t>
        </is>
      </c>
      <c r="G91" s="6" t="inlineStr">
        <is>
          <t>格数与节距分开输入</t>
        </is>
      </c>
    </row>
    <row r="92">
      <c r="A92" s="18" t="n"/>
      <c r="B92" s="18" t="n"/>
      <c r="C92" s="19" t="inlineStr">
        <is>
          <t>组成环之和</t>
        </is>
      </c>
      <c r="D92" s="18" t="n"/>
      <c r="E92" s="20">
        <f>SUM(E91:E91)</f>
        <v/>
      </c>
      <c r="F92" s="18" t="n"/>
      <c r="G92" s="18" t="n"/>
    </row>
    <row r="93">
      <c r="A93" s="21" t="n"/>
      <c r="B93" s="21" t="n"/>
      <c r="C93" s="22" t="inlineStr">
        <is>
          <t>封闭环</t>
        </is>
      </c>
      <c r="D93" s="21" t="n"/>
      <c r="E93" s="23">
        <f>die_w</f>
        <v/>
      </c>
      <c r="F93" s="21" t="n"/>
      <c r="G93" s="21" t="n"/>
    </row>
    <row r="94">
      <c r="A94" s="21" t="n"/>
      <c r="B94" s="21" t="n"/>
      <c r="C94" s="24" t="inlineStr">
        <is>
          <t>差值（和 − 封闭环）</t>
        </is>
      </c>
      <c r="D94" s="21" t="n"/>
      <c r="E94" s="25">
        <f>E92-E93</f>
        <v/>
      </c>
      <c r="F94" s="21" t="n"/>
      <c r="G94" s="21" t="n"/>
    </row>
    <row r="95" ht="22" customHeight="1">
      <c r="A95" s="21" t="n"/>
      <c r="B95" s="21" t="n"/>
      <c r="C95" s="22" t="inlineStr">
        <is>
          <t>判定</t>
        </is>
      </c>
      <c r="D95" s="21" t="n"/>
      <c r="E95" s="26">
        <f>IF(ABS(E92-E93)&lt;0.001,"闭合","不闭合")</f>
        <v/>
      </c>
      <c r="F95" s="21" t="n"/>
      <c r="G95" s="21" t="n"/>
    </row>
    <row r="97" ht="22" customHeight="1">
      <c r="A97" s="14" t="inlineStr">
        <is>
          <t>单 die 射流覆盖长度 Y</t>
        </is>
      </c>
    </row>
    <row r="98">
      <c r="A98" s="15" t="inlineStr">
        <is>
          <t>链</t>
        </is>
      </c>
      <c r="B98" s="15" t="inlineStr">
        <is>
          <t>序号</t>
        </is>
      </c>
      <c r="C98" s="15" t="inlineStr">
        <is>
          <t>组成环</t>
        </is>
      </c>
      <c r="D98" s="15" t="inlineStr">
        <is>
          <t>计算式</t>
        </is>
      </c>
      <c r="E98" s="15" t="inlineStr">
        <is>
          <t>数值 / mm</t>
        </is>
      </c>
      <c r="F98" s="15" t="inlineStr">
        <is>
          <t>采用</t>
        </is>
      </c>
      <c r="G98" s="15" t="inlineStr">
        <is>
          <t>说明</t>
        </is>
      </c>
    </row>
    <row r="99" ht="20" customHeight="1">
      <c r="A99" s="6" t="inlineStr">
        <is>
          <t>覆盖Y</t>
        </is>
      </c>
      <c r="B99" s="9" t="n">
        <v>1</v>
      </c>
      <c r="C99" s="6" t="inlineStr">
        <is>
          <t>12 格 × Y 节距</t>
        </is>
      </c>
      <c r="D99" s="16" t="inlineStr">
        <is>
          <t>n_jy*pitch_y</t>
        </is>
      </c>
      <c r="E99" s="17">
        <f>n_jy*pitch_y</f>
        <v/>
      </c>
      <c r="F99" s="9" t="inlineStr">
        <is>
          <t>是</t>
        </is>
      </c>
      <c r="G99" s="6" t="inlineStr"/>
    </row>
    <row r="100">
      <c r="A100" s="18" t="n"/>
      <c r="B100" s="18" t="n"/>
      <c r="C100" s="19" t="inlineStr">
        <is>
          <t>组成环之和</t>
        </is>
      </c>
      <c r="D100" s="18" t="n"/>
      <c r="E100" s="20">
        <f>SUM(E99:E99)</f>
        <v/>
      </c>
      <c r="F100" s="18" t="n"/>
      <c r="G100" s="18" t="n"/>
    </row>
    <row r="101">
      <c r="A101" s="21" t="n"/>
      <c r="B101" s="21" t="n"/>
      <c r="C101" s="22" t="inlineStr">
        <is>
          <t>封闭环</t>
        </is>
      </c>
      <c r="D101" s="21" t="n"/>
      <c r="E101" s="23">
        <f>cov_y</f>
        <v/>
      </c>
      <c r="F101" s="21" t="n"/>
      <c r="G101" s="21" t="n"/>
    </row>
    <row r="102">
      <c r="A102" s="21" t="n"/>
      <c r="B102" s="21" t="n"/>
      <c r="C102" s="24" t="inlineStr">
        <is>
          <t>差值（和 − 封闭环）</t>
        </is>
      </c>
      <c r="D102" s="21" t="n"/>
      <c r="E102" s="25">
        <f>E100-E101</f>
        <v/>
      </c>
      <c r="F102" s="21" t="n"/>
      <c r="G102" s="21" t="n"/>
    </row>
    <row r="103" ht="22" customHeight="1">
      <c r="A103" s="21" t="n"/>
      <c r="B103" s="21" t="n"/>
      <c r="C103" s="22" t="inlineStr">
        <is>
          <t>判定</t>
        </is>
      </c>
      <c r="D103" s="21" t="n"/>
      <c r="E103" s="26">
        <f>IF(ABS(E100-E101)&lt;0.001,"闭合","不闭合")</f>
        <v/>
      </c>
      <c r="F103" s="21" t="n"/>
      <c r="G103" s="21" t="n"/>
    </row>
    <row r="105" ht="22" customHeight="1">
      <c r="A105" s="14" t="inlineStr">
        <is>
          <t>Y 向覆盖超出 die</t>
        </is>
      </c>
    </row>
    <row r="106">
      <c r="A106" s="15" t="inlineStr">
        <is>
          <t>链</t>
        </is>
      </c>
      <c r="B106" s="15" t="inlineStr">
        <is>
          <t>序号</t>
        </is>
      </c>
      <c r="C106" s="15" t="inlineStr">
        <is>
          <t>组成环</t>
        </is>
      </c>
      <c r="D106" s="15" t="inlineStr">
        <is>
          <t>计算式</t>
        </is>
      </c>
      <c r="E106" s="15" t="inlineStr">
        <is>
          <t>数值 / mm</t>
        </is>
      </c>
      <c r="F106" s="15" t="inlineStr">
        <is>
          <t>采用</t>
        </is>
      </c>
      <c r="G106" s="15" t="inlineStr">
        <is>
          <t>说明</t>
        </is>
      </c>
    </row>
    <row r="107" ht="20" customHeight="1">
      <c r="A107" s="6" t="inlineStr">
        <is>
          <t>超出Y</t>
        </is>
      </c>
      <c r="B107" s="9" t="n">
        <v>1</v>
      </c>
      <c r="C107" s="6" t="inlineStr">
        <is>
          <t>覆盖长度</t>
        </is>
      </c>
      <c r="D107" s="16" t="inlineStr">
        <is>
          <t>cov_y</t>
        </is>
      </c>
      <c r="E107" s="17">
        <f>cov_y</f>
        <v/>
      </c>
      <c r="F107" s="9" t="inlineStr">
        <is>
          <t>是</t>
        </is>
      </c>
      <c r="G107" s="6" t="inlineStr"/>
    </row>
    <row r="108" ht="20" customHeight="1">
      <c r="A108" s="6" t="inlineStr">
        <is>
          <t>超出Y</t>
        </is>
      </c>
      <c r="B108" s="9" t="n">
        <v>2</v>
      </c>
      <c r="C108" s="6" t="inlineStr">
        <is>
          <t>die 高（减）</t>
        </is>
      </c>
      <c r="D108" s="16" t="inlineStr">
        <is>
          <t>-die_h</t>
        </is>
      </c>
      <c r="E108" s="17">
        <f>-die_h</f>
        <v/>
      </c>
      <c r="F108" s="9" t="inlineStr">
        <is>
          <t>是</t>
        </is>
      </c>
      <c r="G108" s="6" t="inlineStr"/>
    </row>
    <row r="109">
      <c r="A109" s="18" t="n"/>
      <c r="B109" s="18" t="n"/>
      <c r="C109" s="19" t="inlineStr">
        <is>
          <t>组成环之和</t>
        </is>
      </c>
      <c r="D109" s="18" t="n"/>
      <c r="E109" s="20">
        <f>SUM(E107:E108)</f>
        <v/>
      </c>
      <c r="F109" s="18" t="n"/>
      <c r="G109" s="18" t="n"/>
    </row>
    <row r="110">
      <c r="A110" s="21" t="n"/>
      <c r="B110" s="21" t="n"/>
      <c r="C110" s="22" t="inlineStr">
        <is>
          <t>封闭环</t>
        </is>
      </c>
      <c r="D110" s="21" t="n"/>
      <c r="E110" s="23">
        <f>oh_y</f>
        <v/>
      </c>
      <c r="F110" s="21" t="n"/>
      <c r="G110" s="21" t="n"/>
    </row>
    <row r="111">
      <c r="A111" s="21" t="n"/>
      <c r="B111" s="21" t="n"/>
      <c r="C111" s="24" t="inlineStr">
        <is>
          <t>差值（和 − 封闭环）</t>
        </is>
      </c>
      <c r="D111" s="21" t="n"/>
      <c r="E111" s="25">
        <f>E109-E110</f>
        <v/>
      </c>
      <c r="F111" s="21" t="n"/>
      <c r="G111" s="21" t="n"/>
    </row>
    <row r="112" ht="22" customHeight="1">
      <c r="A112" s="21" t="n"/>
      <c r="B112" s="21" t="n"/>
      <c r="C112" s="22" t="inlineStr">
        <is>
          <t>判定</t>
        </is>
      </c>
      <c r="D112" s="21" t="n"/>
      <c r="E112" s="26">
        <f>IF(ABS(E109-E110)&lt;0.001,"闭合","不闭合")</f>
        <v/>
      </c>
      <c r="F112" s="21" t="n"/>
      <c r="G112" s="21" t="n"/>
    </row>
    <row r="114" ht="22" customHeight="1">
      <c r="A114" s="14" t="inlineStr">
        <is>
          <t>Y 向板外包络</t>
        </is>
      </c>
    </row>
    <row r="115">
      <c r="A115" s="15" t="inlineStr">
        <is>
          <t>链</t>
        </is>
      </c>
      <c r="B115" s="15" t="inlineStr">
        <is>
          <t>序号</t>
        </is>
      </c>
      <c r="C115" s="15" t="inlineStr">
        <is>
          <t>组成环</t>
        </is>
      </c>
      <c r="D115" s="15" t="inlineStr">
        <is>
          <t>计算式</t>
        </is>
      </c>
      <c r="E115" s="15" t="inlineStr">
        <is>
          <t>数值 / mm</t>
        </is>
      </c>
      <c r="F115" s="15" t="inlineStr">
        <is>
          <t>采用</t>
        </is>
      </c>
      <c r="G115" s="15" t="inlineStr">
        <is>
          <t>说明</t>
        </is>
      </c>
    </row>
    <row r="116" ht="20" customHeight="1">
      <c r="A116" s="6" t="inlineStr">
        <is>
          <t>外包络</t>
        </is>
      </c>
      <c r="B116" s="9" t="n">
        <v>1</v>
      </c>
      <c r="C116" s="6" t="inlineStr">
        <is>
          <t>die 高</t>
        </is>
      </c>
      <c r="D116" s="16" t="inlineStr">
        <is>
          <t>die_h</t>
        </is>
      </c>
      <c r="E116" s="17">
        <f>die_h</f>
        <v/>
      </c>
      <c r="F116" s="9" t="inlineStr">
        <is>
          <t>是</t>
        </is>
      </c>
      <c r="G116" s="6" t="inlineStr"/>
    </row>
    <row r="117" ht="20" customHeight="1">
      <c r="A117" s="6" t="inlineStr">
        <is>
          <t>外包络</t>
        </is>
      </c>
      <c r="B117" s="9" t="n">
        <v>2</v>
      </c>
      <c r="C117" s="6" t="inlineStr">
        <is>
          <t>外包络余量定额</t>
        </is>
      </c>
      <c r="D117" s="16" t="inlineStr">
        <is>
          <t>env_allow</t>
        </is>
      </c>
      <c r="E117" s="17">
        <f>env_allow</f>
        <v/>
      </c>
      <c r="F117" s="9" t="inlineStr">
        <is>
          <t>是</t>
        </is>
      </c>
      <c r="G117" s="6" t="inlineStr">
        <is>
          <t>报告取 1.2 mm</t>
        </is>
      </c>
    </row>
    <row r="118">
      <c r="A118" s="18" t="n"/>
      <c r="B118" s="18" t="n"/>
      <c r="C118" s="19" t="inlineStr">
        <is>
          <t>组成环之和</t>
        </is>
      </c>
      <c r="D118" s="18" t="n"/>
      <c r="E118" s="20">
        <f>SUM(E116:E117)</f>
        <v/>
      </c>
      <c r="F118" s="18" t="n"/>
      <c r="G118" s="18" t="n"/>
    </row>
    <row r="119">
      <c r="A119" s="21" t="n"/>
      <c r="B119" s="21" t="n"/>
      <c r="C119" s="22" t="inlineStr">
        <is>
          <t>封闭环</t>
        </is>
      </c>
      <c r="D119" s="21" t="n"/>
      <c r="E119" s="23">
        <f>env_y</f>
        <v/>
      </c>
      <c r="F119" s="21" t="n"/>
      <c r="G119" s="21" t="n"/>
    </row>
    <row r="120">
      <c r="A120" s="21" t="n"/>
      <c r="B120" s="21" t="n"/>
      <c r="C120" s="24" t="inlineStr">
        <is>
          <t>差值（和 − 封闭环）</t>
        </is>
      </c>
      <c r="D120" s="21" t="n"/>
      <c r="E120" s="25">
        <f>E118-E119</f>
        <v/>
      </c>
      <c r="F120" s="21" t="n"/>
      <c r="G120" s="21" t="n"/>
    </row>
    <row r="121" ht="22" customHeight="1">
      <c r="A121" s="21" t="n"/>
      <c r="B121" s="21" t="n"/>
      <c r="C121" s="22" t="inlineStr">
        <is>
          <t>判定</t>
        </is>
      </c>
      <c r="D121" s="21" t="n"/>
      <c r="E121" s="26">
        <f>IF(ABS(E118-E119)&lt;0.001,"闭合","不闭合")</f>
        <v/>
      </c>
      <c r="F121" s="21" t="n"/>
      <c r="G121" s="21" t="n"/>
    </row>
    <row r="123" ht="22" customHeight="1">
      <c r="A123" s="14" t="inlineStr">
        <is>
          <t>覆盖放进外包络后的余量</t>
        </is>
      </c>
    </row>
    <row r="124">
      <c r="A124" s="15" t="inlineStr">
        <is>
          <t>链</t>
        </is>
      </c>
      <c r="B124" s="15" t="inlineStr">
        <is>
          <t>序号</t>
        </is>
      </c>
      <c r="C124" s="15" t="inlineStr">
        <is>
          <t>组成环</t>
        </is>
      </c>
      <c r="D124" s="15" t="inlineStr">
        <is>
          <t>计算式</t>
        </is>
      </c>
      <c r="E124" s="15" t="inlineStr">
        <is>
          <t>数值 / mm</t>
        </is>
      </c>
      <c r="F124" s="15" t="inlineStr">
        <is>
          <t>采用</t>
        </is>
      </c>
      <c r="G124" s="15" t="inlineStr">
        <is>
          <t>说明</t>
        </is>
      </c>
    </row>
    <row r="125" ht="20" customHeight="1">
      <c r="A125" s="6" t="inlineStr">
        <is>
          <t>包络余</t>
        </is>
      </c>
      <c r="B125" s="9" t="n">
        <v>1</v>
      </c>
      <c r="C125" s="6" t="inlineStr">
        <is>
          <t>外包络</t>
        </is>
      </c>
      <c r="D125" s="16" t="inlineStr">
        <is>
          <t>env_y</t>
        </is>
      </c>
      <c r="E125" s="17">
        <f>env_y</f>
        <v/>
      </c>
      <c r="F125" s="9" t="inlineStr">
        <is>
          <t>是</t>
        </is>
      </c>
      <c r="G125" s="6" t="inlineStr"/>
    </row>
    <row r="126" ht="20" customHeight="1">
      <c r="A126" s="6" t="inlineStr">
        <is>
          <t>包络余</t>
        </is>
      </c>
      <c r="B126" s="9" t="n">
        <v>2</v>
      </c>
      <c r="C126" s="6" t="inlineStr">
        <is>
          <t>覆盖长度（减）</t>
        </is>
      </c>
      <c r="D126" s="16" t="inlineStr">
        <is>
          <t>-cov_y</t>
        </is>
      </c>
      <c r="E126" s="17">
        <f>-cov_y</f>
        <v/>
      </c>
      <c r="F126" s="9" t="inlineStr">
        <is>
          <t>是</t>
        </is>
      </c>
      <c r="G126" s="6" t="inlineStr"/>
    </row>
    <row r="127">
      <c r="A127" s="18" t="n"/>
      <c r="B127" s="18" t="n"/>
      <c r="C127" s="19" t="inlineStr">
        <is>
          <t>组成环之和</t>
        </is>
      </c>
      <c r="D127" s="18" t="n"/>
      <c r="E127" s="20">
        <f>SUM(E125:E126)</f>
        <v/>
      </c>
      <c r="F127" s="18" t="n"/>
      <c r="G127" s="18" t="n"/>
    </row>
    <row r="128">
      <c r="A128" s="21" t="n"/>
      <c r="B128" s="21" t="n"/>
      <c r="C128" s="22" t="inlineStr">
        <is>
          <t>封闭环</t>
        </is>
      </c>
      <c r="D128" s="21" t="n"/>
      <c r="E128" s="23">
        <f>env_rem</f>
        <v/>
      </c>
      <c r="F128" s="21" t="n"/>
      <c r="G128" s="21" t="n"/>
    </row>
    <row r="129">
      <c r="A129" s="21" t="n"/>
      <c r="B129" s="21" t="n"/>
      <c r="C129" s="24" t="inlineStr">
        <is>
          <t>差值（和 − 封闭环）</t>
        </is>
      </c>
      <c r="D129" s="21" t="n"/>
      <c r="E129" s="25">
        <f>E127-E128</f>
        <v/>
      </c>
      <c r="F129" s="21" t="n"/>
      <c r="G129" s="21" t="n"/>
    </row>
    <row r="130" ht="22" customHeight="1">
      <c r="A130" s="21" t="n"/>
      <c r="B130" s="21" t="n"/>
      <c r="C130" s="22" t="inlineStr">
        <is>
          <t>判定</t>
        </is>
      </c>
      <c r="D130" s="21" t="n"/>
      <c r="E130" s="26">
        <f>IF(ABS(E127-E128)&lt;0.001,"闭合","不闭合")</f>
        <v/>
      </c>
      <c r="F130" s="21" t="n"/>
      <c r="G130" s="21" t="n"/>
    </row>
    <row r="132" ht="22" customHeight="1">
      <c r="A132" s="14" t="inlineStr">
        <is>
          <t>die 高度上的槽节距数</t>
        </is>
      </c>
    </row>
    <row r="133">
      <c r="A133" s="15" t="inlineStr">
        <is>
          <t>链</t>
        </is>
      </c>
      <c r="B133" s="15" t="inlineStr">
        <is>
          <t>序号</t>
        </is>
      </c>
      <c r="C133" s="15" t="inlineStr">
        <is>
          <t>组成环</t>
        </is>
      </c>
      <c r="D133" s="15" t="inlineStr">
        <is>
          <t>计算式</t>
        </is>
      </c>
      <c r="E133" s="15" t="inlineStr">
        <is>
          <t>数值 / mm</t>
        </is>
      </c>
      <c r="F133" s="15" t="inlineStr">
        <is>
          <t>采用</t>
        </is>
      </c>
      <c r="G133" s="15" t="inlineStr">
        <is>
          <t>说明</t>
        </is>
      </c>
    </row>
    <row r="134" ht="20" customHeight="1">
      <c r="A134" s="6" t="inlineStr">
        <is>
          <t>槽覆盖</t>
        </is>
      </c>
      <c r="B134" s="9" t="n">
        <v>1</v>
      </c>
      <c r="C134" s="6" t="inlineStr">
        <is>
          <t>35 × 槽节距</t>
        </is>
      </c>
      <c r="D134" s="16" t="inlineStr">
        <is>
          <t>n_ch_die*ch_p</t>
        </is>
      </c>
      <c r="E134" s="17">
        <f>n_ch_die*ch_p</f>
        <v/>
      </c>
      <c r="F134" s="9" t="inlineStr">
        <is>
          <t>是</t>
        </is>
      </c>
      <c r="G134" s="6" t="inlineStr">
        <is>
          <t>die 高 28 mm 内容得下的节距数</t>
        </is>
      </c>
    </row>
    <row r="135">
      <c r="A135" s="18" t="n"/>
      <c r="B135" s="18" t="n"/>
      <c r="C135" s="19" t="inlineStr">
        <is>
          <t>组成环之和</t>
        </is>
      </c>
      <c r="D135" s="18" t="n"/>
      <c r="E135" s="20">
        <f>SUM(E134:E134)</f>
        <v/>
      </c>
      <c r="F135" s="18" t="n"/>
      <c r="G135" s="18" t="n"/>
    </row>
    <row r="136">
      <c r="A136" s="21" t="n"/>
      <c r="B136" s="21" t="n"/>
      <c r="C136" s="22" t="inlineStr">
        <is>
          <t>封闭环</t>
        </is>
      </c>
      <c r="D136" s="21" t="n"/>
      <c r="E136" s="23">
        <f>die_h</f>
        <v/>
      </c>
      <c r="F136" s="21" t="n"/>
      <c r="G136" s="21" t="n"/>
    </row>
    <row r="137">
      <c r="A137" s="21" t="n"/>
      <c r="B137" s="21" t="n"/>
      <c r="C137" s="24" t="inlineStr">
        <is>
          <t>差值（和 − 封闭环）</t>
        </is>
      </c>
      <c r="D137" s="21" t="n"/>
      <c r="E137" s="25">
        <f>E135-E136</f>
        <v/>
      </c>
      <c r="F137" s="21" t="n"/>
      <c r="G137" s="21" t="n"/>
    </row>
    <row r="138" ht="22" customHeight="1">
      <c r="A138" s="21" t="n"/>
      <c r="B138" s="21" t="n"/>
      <c r="C138" s="22" t="inlineStr">
        <is>
          <t>判定</t>
        </is>
      </c>
      <c r="D138" s="21" t="n"/>
      <c r="E138" s="26">
        <f>IF(ABS(E135-E136)&lt;0.001,"闭合","不闭合")</f>
        <v/>
      </c>
      <c r="F138" s="21" t="n"/>
      <c r="G138" s="21" t="n"/>
    </row>
    <row r="140" ht="22" customHeight="1">
      <c r="A140" s="14" t="inlineStr">
        <is>
          <t>一个射流胞的 Y 向</t>
        </is>
      </c>
    </row>
    <row r="141">
      <c r="A141" s="15" t="inlineStr">
        <is>
          <t>链</t>
        </is>
      </c>
      <c r="B141" s="15" t="inlineStr">
        <is>
          <t>序号</t>
        </is>
      </c>
      <c r="C141" s="15" t="inlineStr">
        <is>
          <t>组成环</t>
        </is>
      </c>
      <c r="D141" s="15" t="inlineStr">
        <is>
          <t>计算式</t>
        </is>
      </c>
      <c r="E141" s="15" t="inlineStr">
        <is>
          <t>数值 / mm</t>
        </is>
      </c>
      <c r="F141" s="15" t="inlineStr">
        <is>
          <t>采用</t>
        </is>
      </c>
      <c r="G141" s="15" t="inlineStr">
        <is>
          <t>说明</t>
        </is>
      </c>
    </row>
    <row r="142" ht="20" customHeight="1">
      <c r="A142" s="6" t="inlineStr">
        <is>
          <t>单胞Y</t>
        </is>
      </c>
      <c r="B142" s="9" t="n">
        <v>1</v>
      </c>
      <c r="C142" s="6" t="inlineStr">
        <is>
          <t>胞边半肋</t>
        </is>
      </c>
      <c r="D142" s="16" t="inlineStr">
        <is>
          <t>land_cell</t>
        </is>
      </c>
      <c r="E142" s="17">
        <f>land_cell</f>
        <v/>
      </c>
      <c r="F142" s="9" t="inlineStr">
        <is>
          <t>是</t>
        </is>
      </c>
      <c r="G142" s="6" t="inlineStr">
        <is>
          <t>网格：胞边到第一条槽 0.20</t>
        </is>
      </c>
    </row>
    <row r="143" ht="20" customHeight="1">
      <c r="A143" s="6" t="inlineStr">
        <is>
          <t>单胞Y</t>
        </is>
      </c>
      <c r="B143" s="9" t="n">
        <v>2</v>
      </c>
      <c r="C143" s="6" t="inlineStr">
        <is>
          <t>槽 1</t>
        </is>
      </c>
      <c r="D143" s="16" t="inlineStr">
        <is>
          <t>slot_w</t>
        </is>
      </c>
      <c r="E143" s="17">
        <f>slot_w</f>
        <v/>
      </c>
      <c r="F143" s="9" t="inlineStr">
        <is>
          <t>是</t>
        </is>
      </c>
      <c r="G143" s="6" t="inlineStr">
        <is>
          <t>0.40</t>
        </is>
      </c>
    </row>
    <row r="144" ht="20" customHeight="1">
      <c r="A144" s="6" t="inlineStr">
        <is>
          <t>单胞Y</t>
        </is>
      </c>
      <c r="B144" s="9" t="n">
        <v>3</v>
      </c>
      <c r="C144" s="6" t="inlineStr">
        <is>
          <t>肋</t>
        </is>
      </c>
      <c r="D144" s="16" t="inlineStr">
        <is>
          <t>slot_rib</t>
        </is>
      </c>
      <c r="E144" s="17">
        <f>slot_rib</f>
        <v/>
      </c>
      <c r="F144" s="9" t="inlineStr">
        <is>
          <t>是</t>
        </is>
      </c>
      <c r="G144" s="6" t="inlineStr">
        <is>
          <t>0.40</t>
        </is>
      </c>
    </row>
    <row r="145" ht="20" customHeight="1">
      <c r="A145" s="6" t="inlineStr">
        <is>
          <t>单胞Y</t>
        </is>
      </c>
      <c r="B145" s="9" t="n">
        <v>4</v>
      </c>
      <c r="C145" s="6" t="inlineStr">
        <is>
          <t>槽 2</t>
        </is>
      </c>
      <c r="D145" s="16" t="inlineStr">
        <is>
          <t>slot_w</t>
        </is>
      </c>
      <c r="E145" s="17">
        <f>slot_w</f>
        <v/>
      </c>
      <c r="F145" s="9" t="inlineStr">
        <is>
          <t>是</t>
        </is>
      </c>
      <c r="G145" s="6" t="inlineStr"/>
    </row>
    <row r="146" ht="20" customHeight="1">
      <c r="A146" s="6" t="inlineStr">
        <is>
          <t>单胞Y</t>
        </is>
      </c>
      <c r="B146" s="9" t="n">
        <v>5</v>
      </c>
      <c r="C146" s="6" t="inlineStr">
        <is>
          <t>肋</t>
        </is>
      </c>
      <c r="D146" s="16" t="inlineStr">
        <is>
          <t>slot_rib</t>
        </is>
      </c>
      <c r="E146" s="17">
        <f>slot_rib</f>
        <v/>
      </c>
      <c r="F146" s="9" t="inlineStr">
        <is>
          <t>是</t>
        </is>
      </c>
      <c r="G146" s="6" t="inlineStr"/>
    </row>
    <row r="147" ht="20" customHeight="1">
      <c r="A147" s="6" t="inlineStr">
        <is>
          <t>单胞Y</t>
        </is>
      </c>
      <c r="B147" s="9" t="n">
        <v>6</v>
      </c>
      <c r="C147" s="6" t="inlineStr">
        <is>
          <t>槽 3</t>
        </is>
      </c>
      <c r="D147" s="16" t="inlineStr">
        <is>
          <t>slot_w</t>
        </is>
      </c>
      <c r="E147" s="17">
        <f>slot_w</f>
        <v/>
      </c>
      <c r="F147" s="9" t="inlineStr">
        <is>
          <t>是</t>
        </is>
      </c>
      <c r="G147" s="6" t="inlineStr"/>
    </row>
    <row r="148" ht="20" customHeight="1">
      <c r="A148" s="6" t="inlineStr">
        <is>
          <t>单胞Y</t>
        </is>
      </c>
      <c r="B148" s="9" t="n">
        <v>7</v>
      </c>
      <c r="C148" s="6" t="inlineStr">
        <is>
          <t>胞边半肋</t>
        </is>
      </c>
      <c r="D148" s="16" t="inlineStr">
        <is>
          <t>land_cell</t>
        </is>
      </c>
      <c r="E148" s="17">
        <f>land_cell</f>
        <v/>
      </c>
      <c r="F148" s="9" t="inlineStr">
        <is>
          <t>是</t>
        </is>
      </c>
      <c r="G148" s="6" t="inlineStr"/>
    </row>
    <row r="149">
      <c r="A149" s="18" t="n"/>
      <c r="B149" s="18" t="n"/>
      <c r="C149" s="19" t="inlineStr">
        <is>
          <t>组成环之和</t>
        </is>
      </c>
      <c r="D149" s="18" t="n"/>
      <c r="E149" s="20">
        <f>SUM(E142:E148)</f>
        <v/>
      </c>
      <c r="F149" s="18" t="n"/>
      <c r="G149" s="18" t="n"/>
    </row>
    <row r="150">
      <c r="A150" s="21" t="n"/>
      <c r="B150" s="21" t="n"/>
      <c r="C150" s="22" t="inlineStr">
        <is>
          <t>封闭环</t>
        </is>
      </c>
      <c r="D150" s="21" t="n"/>
      <c r="E150" s="23">
        <f>pitch_y</f>
        <v/>
      </c>
      <c r="F150" s="21" t="n"/>
      <c r="G150" s="21" t="n"/>
    </row>
    <row r="151">
      <c r="A151" s="21" t="n"/>
      <c r="B151" s="21" t="n"/>
      <c r="C151" s="24" t="inlineStr">
        <is>
          <t>差值（和 − 封闭环）</t>
        </is>
      </c>
      <c r="D151" s="21" t="n"/>
      <c r="E151" s="25">
        <f>E149-E150</f>
        <v/>
      </c>
      <c r="F151" s="21" t="n"/>
      <c r="G151" s="21" t="n"/>
    </row>
    <row r="152" ht="22" customHeight="1">
      <c r="A152" s="21" t="n"/>
      <c r="B152" s="21" t="n"/>
      <c r="C152" s="22" t="inlineStr">
        <is>
          <t>判定</t>
        </is>
      </c>
      <c r="D152" s="21" t="n"/>
      <c r="E152" s="26">
        <f>IF(ABS(E149-E150)&lt;0.001,"闭合","不闭合")</f>
        <v/>
      </c>
      <c r="F152" s="21" t="n"/>
      <c r="G152" s="21" t="n"/>
    </row>
    <row r="154" ht="22" customHeight="1">
      <c r="A154" s="14" t="inlineStr">
        <is>
          <t>安装孔中心距，X</t>
        </is>
      </c>
    </row>
    <row r="155">
      <c r="A155" s="15" t="inlineStr">
        <is>
          <t>链</t>
        </is>
      </c>
      <c r="B155" s="15" t="inlineStr">
        <is>
          <t>序号</t>
        </is>
      </c>
      <c r="C155" s="15" t="inlineStr">
        <is>
          <t>组成环</t>
        </is>
      </c>
      <c r="D155" s="15" t="inlineStr">
        <is>
          <t>计算式</t>
        </is>
      </c>
      <c r="E155" s="15" t="inlineStr">
        <is>
          <t>数值 / mm</t>
        </is>
      </c>
      <c r="F155" s="15" t="inlineStr">
        <is>
          <t>采用</t>
        </is>
      </c>
      <c r="G155" s="15" t="inlineStr">
        <is>
          <t>说明</t>
        </is>
      </c>
    </row>
    <row r="156" ht="20" customHeight="1">
      <c r="A156" s="6" t="inlineStr">
        <is>
          <t>孔X</t>
        </is>
      </c>
      <c r="B156" s="9" t="n">
        <v>1</v>
      </c>
      <c r="C156" s="6" t="inlineStr">
        <is>
          <t>左边孔中心到板边</t>
        </is>
      </c>
      <c r="D156" s="16" t="inlineStr">
        <is>
          <t>hole_in</t>
        </is>
      </c>
      <c r="E156" s="17">
        <f>hole_in</f>
        <v/>
      </c>
      <c r="F156" s="9" t="inlineStr">
        <is>
          <t>是</t>
        </is>
      </c>
      <c r="G156" s="6" t="inlineStr">
        <is>
          <t>中心在 4.5</t>
        </is>
      </c>
    </row>
    <row r="157" ht="20" customHeight="1">
      <c r="A157" s="6" t="inlineStr">
        <is>
          <t>孔X</t>
        </is>
      </c>
      <c r="B157" s="9" t="n">
        <v>2</v>
      </c>
      <c r="C157" s="6" t="inlineStr">
        <is>
          <t>两孔中心距</t>
        </is>
      </c>
      <c r="D157" s="16" t="inlineStr">
        <is>
          <t>hole_span_x</t>
        </is>
      </c>
      <c r="E157" s="17">
        <f>hole_span_x</f>
        <v/>
      </c>
      <c r="F157" s="9" t="inlineStr">
        <is>
          <t>是</t>
        </is>
      </c>
      <c r="G157" s="6" t="inlineStr">
        <is>
          <t>90.5−4.5</t>
        </is>
      </c>
    </row>
    <row r="158" ht="20" customHeight="1">
      <c r="A158" s="6" t="inlineStr">
        <is>
          <t>孔X</t>
        </is>
      </c>
      <c r="B158" s="9" t="n">
        <v>3</v>
      </c>
      <c r="C158" s="6" t="inlineStr">
        <is>
          <t>右边孔中心到板边</t>
        </is>
      </c>
      <c r="D158" s="16" t="inlineStr">
        <is>
          <t>hole_in</t>
        </is>
      </c>
      <c r="E158" s="17">
        <f>hole_in</f>
        <v/>
      </c>
      <c r="F158" s="9" t="inlineStr">
        <is>
          <t>是</t>
        </is>
      </c>
      <c r="G158" s="6" t="inlineStr">
        <is>
          <t>中心在 90.5</t>
        </is>
      </c>
    </row>
    <row r="159">
      <c r="A159" s="18" t="n"/>
      <c r="B159" s="18" t="n"/>
      <c r="C159" s="19" t="inlineStr">
        <is>
          <t>组成环之和</t>
        </is>
      </c>
      <c r="D159" s="18" t="n"/>
      <c r="E159" s="20">
        <f>SUM(E156:E158)</f>
        <v/>
      </c>
      <c r="F159" s="18" t="n"/>
      <c r="G159" s="18" t="n"/>
    </row>
    <row r="160">
      <c r="A160" s="21" t="n"/>
      <c r="B160" s="21" t="n"/>
      <c r="C160" s="22" t="inlineStr">
        <is>
          <t>封闭环</t>
        </is>
      </c>
      <c r="D160" s="21" t="n"/>
      <c r="E160" s="23">
        <f>plate_L</f>
        <v/>
      </c>
      <c r="F160" s="21" t="n"/>
      <c r="G160" s="21" t="n"/>
    </row>
    <row r="161">
      <c r="A161" s="21" t="n"/>
      <c r="B161" s="21" t="n"/>
      <c r="C161" s="24" t="inlineStr">
        <is>
          <t>差值（和 − 封闭环）</t>
        </is>
      </c>
      <c r="D161" s="21" t="n"/>
      <c r="E161" s="25">
        <f>E159-E160</f>
        <v/>
      </c>
      <c r="F161" s="21" t="n"/>
      <c r="G161" s="21" t="n"/>
    </row>
    <row r="162" ht="22" customHeight="1">
      <c r="A162" s="21" t="n"/>
      <c r="B162" s="21" t="n"/>
      <c r="C162" s="22" t="inlineStr">
        <is>
          <t>判定</t>
        </is>
      </c>
      <c r="D162" s="21" t="n"/>
      <c r="E162" s="26">
        <f>IF(ABS(E159-E160)&lt;0.001,"闭合","不闭合")</f>
        <v/>
      </c>
      <c r="F162" s="21" t="n"/>
      <c r="G162" s="21" t="n"/>
    </row>
    <row r="164" ht="22" customHeight="1">
      <c r="A164" s="14" t="inlineStr">
        <is>
          <t>安装孔中心距，Y</t>
        </is>
      </c>
    </row>
    <row r="165">
      <c r="A165" s="15" t="inlineStr">
        <is>
          <t>链</t>
        </is>
      </c>
      <c r="B165" s="15" t="inlineStr">
        <is>
          <t>序号</t>
        </is>
      </c>
      <c r="C165" s="15" t="inlineStr">
        <is>
          <t>组成环</t>
        </is>
      </c>
      <c r="D165" s="15" t="inlineStr">
        <is>
          <t>计算式</t>
        </is>
      </c>
      <c r="E165" s="15" t="inlineStr">
        <is>
          <t>数值 / mm</t>
        </is>
      </c>
      <c r="F165" s="15" t="inlineStr">
        <is>
          <t>采用</t>
        </is>
      </c>
      <c r="G165" s="15" t="inlineStr">
        <is>
          <t>说明</t>
        </is>
      </c>
    </row>
    <row r="166" ht="20" customHeight="1">
      <c r="A166" s="6" t="inlineStr">
        <is>
          <t>孔Y</t>
        </is>
      </c>
      <c r="B166" s="9" t="n">
        <v>1</v>
      </c>
      <c r="C166" s="6" t="inlineStr">
        <is>
          <t>下边</t>
        </is>
      </c>
      <c r="D166" s="16" t="inlineStr">
        <is>
          <t>hole_in</t>
        </is>
      </c>
      <c r="E166" s="17">
        <f>hole_in</f>
        <v/>
      </c>
      <c r="F166" s="9" t="inlineStr">
        <is>
          <t>是</t>
        </is>
      </c>
      <c r="G166" s="6" t="inlineStr">
        <is>
          <t>中心 4.5</t>
        </is>
      </c>
    </row>
    <row r="167" ht="20" customHeight="1">
      <c r="A167" s="6" t="inlineStr">
        <is>
          <t>孔Y</t>
        </is>
      </c>
      <c r="B167" s="9" t="n">
        <v>2</v>
      </c>
      <c r="C167" s="6" t="inlineStr">
        <is>
          <t>两孔中心距</t>
        </is>
      </c>
      <c r="D167" s="16" t="inlineStr">
        <is>
          <t>hole_span_y</t>
        </is>
      </c>
      <c r="E167" s="17">
        <f>hole_span_y</f>
        <v/>
      </c>
      <c r="F167" s="9" t="inlineStr">
        <is>
          <t>是</t>
        </is>
      </c>
      <c r="G167" s="6" t="inlineStr">
        <is>
          <t>70.5−4.5</t>
        </is>
      </c>
    </row>
    <row r="168" ht="20" customHeight="1">
      <c r="A168" s="6" t="inlineStr">
        <is>
          <t>孔Y</t>
        </is>
      </c>
      <c r="B168" s="9" t="n">
        <v>3</v>
      </c>
      <c r="C168" s="6" t="inlineStr">
        <is>
          <t>上边</t>
        </is>
      </c>
      <c r="D168" s="16" t="inlineStr">
        <is>
          <t>hole_in</t>
        </is>
      </c>
      <c r="E168" s="17">
        <f>hole_in</f>
        <v/>
      </c>
      <c r="F168" s="9" t="inlineStr">
        <is>
          <t>是</t>
        </is>
      </c>
      <c r="G168" s="6" t="inlineStr">
        <is>
          <t>中心 70.5</t>
        </is>
      </c>
    </row>
    <row r="169">
      <c r="A169" s="18" t="n"/>
      <c r="B169" s="18" t="n"/>
      <c r="C169" s="19" t="inlineStr">
        <is>
          <t>组成环之和</t>
        </is>
      </c>
      <c r="D169" s="18" t="n"/>
      <c r="E169" s="20">
        <f>SUM(E166:E168)</f>
        <v/>
      </c>
      <c r="F169" s="18" t="n"/>
      <c r="G169" s="18" t="n"/>
    </row>
    <row r="170">
      <c r="A170" s="21" t="n"/>
      <c r="B170" s="21" t="n"/>
      <c r="C170" s="22" t="inlineStr">
        <is>
          <t>封闭环</t>
        </is>
      </c>
      <c r="D170" s="21" t="n"/>
      <c r="E170" s="23">
        <f>plate_W</f>
        <v/>
      </c>
      <c r="F170" s="21" t="n"/>
      <c r="G170" s="21" t="n"/>
    </row>
    <row r="171">
      <c r="A171" s="21" t="n"/>
      <c r="B171" s="21" t="n"/>
      <c r="C171" s="24" t="inlineStr">
        <is>
          <t>差值（和 − 封闭环）</t>
        </is>
      </c>
      <c r="D171" s="21" t="n"/>
      <c r="E171" s="25">
        <f>E169-E170</f>
        <v/>
      </c>
      <c r="F171" s="21" t="n"/>
      <c r="G171" s="21" t="n"/>
    </row>
    <row r="172" ht="22" customHeight="1">
      <c r="A172" s="21" t="n"/>
      <c r="B172" s="21" t="n"/>
      <c r="C172" s="22" t="inlineStr">
        <is>
          <t>判定</t>
        </is>
      </c>
      <c r="D172" s="21" t="n"/>
      <c r="E172" s="26">
        <f>IF(ABS(E169-E170)&lt;0.001,"闭合","不闭合")</f>
        <v/>
      </c>
      <c r="F172" s="21" t="n"/>
      <c r="G172" s="21" t="n"/>
    </row>
    <row r="174" ht="22" customHeight="1">
      <c r="A174" s="14" t="inlineStr">
        <is>
          <t>四颗 HBM 的列长</t>
        </is>
      </c>
    </row>
    <row r="175">
      <c r="A175" s="15" t="inlineStr">
        <is>
          <t>链</t>
        </is>
      </c>
      <c r="B175" s="15" t="inlineStr">
        <is>
          <t>序号</t>
        </is>
      </c>
      <c r="C175" s="15" t="inlineStr">
        <is>
          <t>组成环</t>
        </is>
      </c>
      <c r="D175" s="15" t="inlineStr">
        <is>
          <t>计算式</t>
        </is>
      </c>
      <c r="E175" s="15" t="inlineStr">
        <is>
          <t>数值 / mm</t>
        </is>
      </c>
      <c r="F175" s="15" t="inlineStr">
        <is>
          <t>采用</t>
        </is>
      </c>
      <c r="G175" s="15" t="inlineStr">
        <is>
          <t>说明</t>
        </is>
      </c>
    </row>
    <row r="176" ht="20" customHeight="1">
      <c r="A176" s="6" t="inlineStr">
        <is>
          <t>四颗Y</t>
        </is>
      </c>
      <c r="B176" s="9" t="n">
        <v>1</v>
      </c>
      <c r="C176" s="6" t="inlineStr">
        <is>
          <t>第 1 颗</t>
        </is>
      </c>
      <c r="D176" s="16" t="inlineStr">
        <is>
          <t>stack_h</t>
        </is>
      </c>
      <c r="E176" s="17">
        <f>stack_h</f>
        <v/>
      </c>
      <c r="F176" s="9" t="inlineStr">
        <is>
          <t>是</t>
        </is>
      </c>
      <c r="G176" s="6" t="inlineStr">
        <is>
          <t>y 12.5–23.5</t>
        </is>
      </c>
    </row>
    <row r="177" ht="20" customHeight="1">
      <c r="A177" s="6" t="inlineStr">
        <is>
          <t>四颗Y</t>
        </is>
      </c>
      <c r="B177" s="9" t="n">
        <v>2</v>
      </c>
      <c r="C177" s="6" t="inlineStr">
        <is>
          <t>间隙</t>
        </is>
      </c>
      <c r="D177" s="16" t="inlineStr">
        <is>
          <t>gap_stack</t>
        </is>
      </c>
      <c r="E177" s="17">
        <f>gap_stack</f>
        <v/>
      </c>
      <c r="F177" s="9" t="inlineStr">
        <is>
          <t>是</t>
        </is>
      </c>
      <c r="G177" s="6" t="inlineStr">
        <is>
          <t>不加热</t>
        </is>
      </c>
    </row>
    <row r="178" ht="20" customHeight="1">
      <c r="A178" s="6" t="inlineStr">
        <is>
          <t>四颗Y</t>
        </is>
      </c>
      <c r="B178" s="9" t="n">
        <v>3</v>
      </c>
      <c r="C178" s="6" t="inlineStr">
        <is>
          <t>第 2 颗</t>
        </is>
      </c>
      <c r="D178" s="16" t="inlineStr">
        <is>
          <t>stack_h</t>
        </is>
      </c>
      <c r="E178" s="17">
        <f>stack_h</f>
        <v/>
      </c>
      <c r="F178" s="9" t="inlineStr">
        <is>
          <t>是</t>
        </is>
      </c>
      <c r="G178" s="6" t="inlineStr">
        <is>
          <t>25.5–36.5</t>
        </is>
      </c>
    </row>
    <row r="179" ht="20" customHeight="1">
      <c r="A179" s="6" t="inlineStr">
        <is>
          <t>四颗Y</t>
        </is>
      </c>
      <c r="B179" s="9" t="n">
        <v>4</v>
      </c>
      <c r="C179" s="6" t="inlineStr">
        <is>
          <t>间隙</t>
        </is>
      </c>
      <c r="D179" s="16" t="inlineStr">
        <is>
          <t>gap_stack</t>
        </is>
      </c>
      <c r="E179" s="17">
        <f>gap_stack</f>
        <v/>
      </c>
      <c r="F179" s="9" t="inlineStr">
        <is>
          <t>是</t>
        </is>
      </c>
      <c r="G179" s="6" t="inlineStr"/>
    </row>
    <row r="180" ht="20" customHeight="1">
      <c r="A180" s="6" t="inlineStr">
        <is>
          <t>四颗Y</t>
        </is>
      </c>
      <c r="B180" s="9" t="n">
        <v>5</v>
      </c>
      <c r="C180" s="6" t="inlineStr">
        <is>
          <t>第 3 颗</t>
        </is>
      </c>
      <c r="D180" s="16" t="inlineStr">
        <is>
          <t>stack_h</t>
        </is>
      </c>
      <c r="E180" s="17">
        <f>stack_h</f>
        <v/>
      </c>
      <c r="F180" s="9" t="inlineStr">
        <is>
          <t>是</t>
        </is>
      </c>
      <c r="G180" s="6" t="inlineStr">
        <is>
          <t>38.5–49.5</t>
        </is>
      </c>
    </row>
    <row r="181" ht="20" customHeight="1">
      <c r="A181" s="6" t="inlineStr">
        <is>
          <t>四颗Y</t>
        </is>
      </c>
      <c r="B181" s="9" t="n">
        <v>6</v>
      </c>
      <c r="C181" s="6" t="inlineStr">
        <is>
          <t>间隙</t>
        </is>
      </c>
      <c r="D181" s="16" t="inlineStr">
        <is>
          <t>gap_stack</t>
        </is>
      </c>
      <c r="E181" s="17">
        <f>gap_stack</f>
        <v/>
      </c>
      <c r="F181" s="9" t="inlineStr">
        <is>
          <t>是</t>
        </is>
      </c>
      <c r="G181" s="6" t="inlineStr"/>
    </row>
    <row r="182" ht="20" customHeight="1">
      <c r="A182" s="6" t="inlineStr">
        <is>
          <t>四颗Y</t>
        </is>
      </c>
      <c r="B182" s="9" t="n">
        <v>7</v>
      </c>
      <c r="C182" s="6" t="inlineStr">
        <is>
          <t>第 4 颗</t>
        </is>
      </c>
      <c r="D182" s="16" t="inlineStr">
        <is>
          <t>stack_h</t>
        </is>
      </c>
      <c r="E182" s="17">
        <f>stack_h</f>
        <v/>
      </c>
      <c r="F182" s="9" t="inlineStr">
        <is>
          <t>是</t>
        </is>
      </c>
      <c r="G182" s="6" t="inlineStr">
        <is>
          <t>51.5–62.5</t>
        </is>
      </c>
    </row>
    <row r="183">
      <c r="A183" s="18" t="n"/>
      <c r="B183" s="18" t="n"/>
      <c r="C183" s="19" t="inlineStr">
        <is>
          <t>组成环之和</t>
        </is>
      </c>
      <c r="D183" s="18" t="n"/>
      <c r="E183" s="20">
        <f>SUM(E176:E182)</f>
        <v/>
      </c>
      <c r="F183" s="18" t="n"/>
      <c r="G183" s="18" t="n"/>
    </row>
    <row r="184">
      <c r="A184" s="21" t="n"/>
      <c r="B184" s="21" t="n"/>
      <c r="C184" s="22" t="inlineStr">
        <is>
          <t>封闭环</t>
        </is>
      </c>
      <c r="D184" s="21" t="n"/>
      <c r="E184" s="23">
        <f>col_len</f>
        <v/>
      </c>
      <c r="F184" s="21" t="n"/>
      <c r="G184" s="21" t="n"/>
    </row>
    <row r="185">
      <c r="A185" s="21" t="n"/>
      <c r="B185" s="21" t="n"/>
      <c r="C185" s="24" t="inlineStr">
        <is>
          <t>差值（和 − 封闭环）</t>
        </is>
      </c>
      <c r="D185" s="21" t="n"/>
      <c r="E185" s="25">
        <f>E183-E184</f>
        <v/>
      </c>
      <c r="F185" s="21" t="n"/>
      <c r="G185" s="21" t="n"/>
    </row>
    <row r="186" ht="22" customHeight="1">
      <c r="A186" s="21" t="n"/>
      <c r="B186" s="21" t="n"/>
      <c r="C186" s="22" t="inlineStr">
        <is>
          <t>判定</t>
        </is>
      </c>
      <c r="D186" s="21" t="n"/>
      <c r="E186" s="26">
        <f>IF(ABS(E183-E184)&lt;0.001,"闭合","不闭合")</f>
        <v/>
      </c>
      <c r="F186" s="21" t="n"/>
      <c r="G186" s="21" t="n"/>
    </row>
  </sheetData>
  <mergeCells count="19">
    <mergeCell ref="A97:G97"/>
    <mergeCell ref="A140:G140"/>
    <mergeCell ref="A4:G4"/>
    <mergeCell ref="A77:G77"/>
    <mergeCell ref="A34:G34"/>
    <mergeCell ref="A114:G114"/>
    <mergeCell ref="A24:G24"/>
    <mergeCell ref="A123:G123"/>
    <mergeCell ref="A1:G1"/>
    <mergeCell ref="A132:G132"/>
    <mergeCell ref="A174:G174"/>
    <mergeCell ref="A164:G164"/>
    <mergeCell ref="A46:G46"/>
    <mergeCell ref="A66:G66"/>
    <mergeCell ref="A89:G89"/>
    <mergeCell ref="A56:G56"/>
    <mergeCell ref="A154:G154"/>
    <mergeCell ref="A105:G105"/>
    <mergeCell ref="A2:G2"/>
  </mergeCells>
  <conditionalFormatting sqref="E22">
    <cfRule type="expression" priority="1" dxfId="0">
      <formula>E22="闭合"</formula>
    </cfRule>
    <cfRule type="expression" priority="2" dxfId="1">
      <formula>E22="不闭合"</formula>
    </cfRule>
  </conditionalFormatting>
  <conditionalFormatting sqref="E32">
    <cfRule type="expression" priority="3" dxfId="0">
      <formula>E32="闭合"</formula>
    </cfRule>
    <cfRule type="expression" priority="4" dxfId="1">
      <formula>E32="不闭合"</formula>
    </cfRule>
  </conditionalFormatting>
  <conditionalFormatting sqref="E44">
    <cfRule type="expression" priority="5" dxfId="0">
      <formula>E44="闭合"</formula>
    </cfRule>
    <cfRule type="expression" priority="6" dxfId="1">
      <formula>E44="不闭合"</formula>
    </cfRule>
  </conditionalFormatting>
  <conditionalFormatting sqref="E54">
    <cfRule type="expression" priority="7" dxfId="0">
      <formula>E54="闭合"</formula>
    </cfRule>
    <cfRule type="expression" priority="8" dxfId="1">
      <formula>E54="不闭合"</formula>
    </cfRule>
  </conditionalFormatting>
  <conditionalFormatting sqref="E64">
    <cfRule type="expression" priority="9" dxfId="0">
      <formula>E64="闭合"</formula>
    </cfRule>
    <cfRule type="expression" priority="10" dxfId="1">
      <formula>E64="不闭合"</formula>
    </cfRule>
  </conditionalFormatting>
  <conditionalFormatting sqref="E75">
    <cfRule type="expression" priority="11" dxfId="0">
      <formula>E75="闭合"</formula>
    </cfRule>
    <cfRule type="expression" priority="12" dxfId="1">
      <formula>E75="不闭合"</formula>
    </cfRule>
  </conditionalFormatting>
  <conditionalFormatting sqref="E87">
    <cfRule type="expression" priority="13" dxfId="0">
      <formula>E87="闭合"</formula>
    </cfRule>
    <cfRule type="expression" priority="14" dxfId="1">
      <formula>E87="不闭合"</formula>
    </cfRule>
  </conditionalFormatting>
  <conditionalFormatting sqref="E95">
    <cfRule type="expression" priority="15" dxfId="0">
      <formula>E95="闭合"</formula>
    </cfRule>
    <cfRule type="expression" priority="16" dxfId="1">
      <formula>E95="不闭合"</formula>
    </cfRule>
  </conditionalFormatting>
  <conditionalFormatting sqref="E103">
    <cfRule type="expression" priority="17" dxfId="0">
      <formula>E103="闭合"</formula>
    </cfRule>
    <cfRule type="expression" priority="18" dxfId="1">
      <formula>E103="不闭合"</formula>
    </cfRule>
  </conditionalFormatting>
  <conditionalFormatting sqref="E112">
    <cfRule type="expression" priority="19" dxfId="0">
      <formula>E112="闭合"</formula>
    </cfRule>
    <cfRule type="expression" priority="20" dxfId="1">
      <formula>E112="不闭合"</formula>
    </cfRule>
  </conditionalFormatting>
  <conditionalFormatting sqref="E121">
    <cfRule type="expression" priority="21" dxfId="0">
      <formula>E121="闭合"</formula>
    </cfRule>
    <cfRule type="expression" priority="22" dxfId="1">
      <formula>E121="不闭合"</formula>
    </cfRule>
  </conditionalFormatting>
  <conditionalFormatting sqref="E130">
    <cfRule type="expression" priority="23" dxfId="0">
      <formula>E130="闭合"</formula>
    </cfRule>
    <cfRule type="expression" priority="24" dxfId="1">
      <formula>E130="不闭合"</formula>
    </cfRule>
  </conditionalFormatting>
  <conditionalFormatting sqref="E138">
    <cfRule type="expression" priority="25" dxfId="0">
      <formula>E138="闭合"</formula>
    </cfRule>
    <cfRule type="expression" priority="26" dxfId="1">
      <formula>E138="不闭合"</formula>
    </cfRule>
  </conditionalFormatting>
  <conditionalFormatting sqref="E152">
    <cfRule type="expression" priority="27" dxfId="0">
      <formula>E152="闭合"</formula>
    </cfRule>
    <cfRule type="expression" priority="28" dxfId="1">
      <formula>E152="不闭合"</formula>
    </cfRule>
  </conditionalFormatting>
  <conditionalFormatting sqref="E162">
    <cfRule type="expression" priority="29" dxfId="0">
      <formula>E162="闭合"</formula>
    </cfRule>
    <cfRule type="expression" priority="30" dxfId="1">
      <formula>E162="不闭合"</formula>
    </cfRule>
  </conditionalFormatting>
  <conditionalFormatting sqref="E172">
    <cfRule type="expression" priority="31" dxfId="0">
      <formula>E172="闭合"</formula>
    </cfRule>
    <cfRule type="expression" priority="32" dxfId="1">
      <formula>E172="不闭合"</formula>
    </cfRule>
  </conditionalFormatting>
  <conditionalFormatting sqref="E186">
    <cfRule type="expression" priority="33" dxfId="0">
      <formula>E186="闭合"</formula>
    </cfRule>
    <cfRule type="expression" priority="34" dxfId="1">
      <formula>E186="不闭合"</formula>
    </cfRule>
  </conditionalFormatting>
  <pageMargins left="0.5" right="0.5" top="0.7" bottom="0.6" header="0.5" footer="0.5"/>
  <pageSetup orientation="landscape" paperSize="9" fitToHeight="0" fitToWidth="1"/>
  <headerFooter>
    <oddHeader>&amp;L尺寸核实2</oddHeader>
    <oddFooter>&amp;CAIDCtms 冷却板  ·  尺寸核实2  ·  2026-09-29&amp;R尺寸核实2  ·  2026-09-29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2026-09-29T00:08:20Z</dcterms:created>
  <dcterms:modified xmlns:dcterms="http://purl.org/dc/terms/" xmlns:xsi="http://www.w3.org/2001/XMLSchema-instance" xsi:type="dcterms:W3CDTF">2026-09-29T00:08:20Z</dcterms:modified>
</cp:coreProperties>
</file>