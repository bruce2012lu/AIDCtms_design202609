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输入" sheetId="1" state="visible" r:id="rId1"/>
    <sheet xmlns:r="http://schemas.openxmlformats.org/officeDocument/2006/relationships" name="尺寸链" sheetId="2" state="visible" r:id="rId2"/>
    <sheet xmlns:r="http://schemas.openxmlformats.org/officeDocument/2006/relationships" name="核实2" sheetId="3" state="visible" r:id="rId3"/>
    <sheet xmlns:r="http://schemas.openxmlformats.org/officeDocument/2006/relationships" name="不采用与说明" sheetId="4" state="visible" r:id="rId4"/>
  </sheets>
  <definedNames>
    <definedName name="_xlnm._FilterDatabase" localSheetId="0" hidden="1">'输入'!$A$1:$E$26</definedName>
    <definedName name="_xlnm._FilterDatabase" localSheetId="1" hidden="1">'尺寸链'!$A$1:$G$1</definedName>
    <definedName name="_xlnm._FilterDatabase" localSheetId="2" hidden="1">'核实2'!$A$1:$G$1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sz val="11"/>
    </font>
    <font>
      <name val="Microsoft YaHei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0B2748"/>
      </patternFill>
    </fill>
    <fill>
      <patternFill patternType="solid">
        <fgColor rgb="00EEF5FF"/>
      </patternFill>
    </fill>
  </fills>
  <borders count="2">
    <border>
      <left/>
      <right/>
      <top/>
      <bottom/>
      <diagonal/>
    </border>
    <border>
      <left style="thin">
        <color rgb="00D7E0EC"/>
      </left>
      <right style="thin">
        <color rgb="00D7E0EC"/>
      </right>
      <top style="thin">
        <color rgb="00D7E0EC"/>
      </top>
      <bottom style="thin">
        <color rgb="00D7E0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42" customWidth="1" min="4" max="4"/>
    <col width="55" customWidth="1" min="5" max="5"/>
  </cols>
  <sheetData>
    <row r="1" ht="22" customHeight="1">
      <c r="A1" s="1" t="inlineStr">
        <is>
          <t>代号</t>
        </is>
      </c>
      <c r="B1" s="1" t="inlineStr">
        <is>
          <t>数值</t>
        </is>
      </c>
      <c r="C1" s="1" t="inlineStr">
        <is>
          <t>单位</t>
        </is>
      </c>
      <c r="D1" s="1" t="inlineStr">
        <is>
          <t>来源</t>
        </is>
      </c>
      <c r="E1" s="1" t="inlineStr">
        <is>
          <t>备注</t>
        </is>
      </c>
    </row>
    <row r="2">
      <c r="A2" s="2" t="inlineStr">
        <is>
          <t>板宽</t>
        </is>
      </c>
      <c r="B2" s="3" t="n">
        <v>200</v>
      </c>
      <c r="C2" s="4" t="inlineStr">
        <is>
          <t>mm</t>
        </is>
      </c>
      <c r="D2" s="4" t="inlineStr">
        <is>
          <t>§4.1</t>
        </is>
      </c>
      <c r="E2" s="4" t="inlineStr">
        <is>
          <t>候选</t>
        </is>
      </c>
    </row>
    <row r="3">
      <c r="A3" s="2" t="inlineStr">
        <is>
          <t>板高</t>
        </is>
      </c>
      <c r="B3" s="3" t="n">
        <v>120</v>
      </c>
      <c r="C3" s="4" t="inlineStr">
        <is>
          <t>mm</t>
        </is>
      </c>
      <c r="D3" s="4" t="inlineStr">
        <is>
          <t>§4.1</t>
        </is>
      </c>
      <c r="E3" s="4" t="inlineStr">
        <is>
          <t>候选</t>
        </is>
      </c>
    </row>
    <row r="4">
      <c r="A4" s="2" t="inlineStr">
        <is>
          <t>底板</t>
        </is>
      </c>
      <c r="B4" s="3" t="n">
        <v>2</v>
      </c>
      <c r="C4" s="4" t="inlineStr">
        <is>
          <t>mm</t>
        </is>
      </c>
      <c r="D4" s="4" t="inlineStr">
        <is>
          <t>§4.1</t>
        </is>
      </c>
      <c r="E4" s="4" t="inlineStr"/>
    </row>
    <row r="5">
      <c r="A5" s="2" t="inlineStr">
        <is>
          <t>通道层</t>
        </is>
      </c>
      <c r="B5" s="3" t="n">
        <v>1.2</v>
      </c>
      <c r="C5" s="4" t="inlineStr">
        <is>
          <t>mm</t>
        </is>
      </c>
      <c r="D5" s="4" t="inlineStr">
        <is>
          <t>§4.1</t>
        </is>
      </c>
      <c r="E5" s="4" t="inlineStr">
        <is>
          <t>CPU 槽铣满</t>
        </is>
      </c>
    </row>
    <row r="6">
      <c r="A6" s="2" t="inlineStr">
        <is>
          <t>分型</t>
        </is>
      </c>
      <c r="B6" s="3" t="n">
        <v>0.3</v>
      </c>
      <c r="C6" s="4" t="inlineStr">
        <is>
          <t>mm</t>
        </is>
      </c>
      <c r="D6" s="4" t="inlineStr">
        <is>
          <t>§4.1</t>
        </is>
      </c>
      <c r="E6" s="4" t="inlineStr"/>
    </row>
    <row r="7">
      <c r="A7" s="2" t="inlineStr">
        <is>
          <t>内腔</t>
        </is>
      </c>
      <c r="B7" s="3" t="n">
        <v>2.5</v>
      </c>
      <c r="C7" s="4" t="inlineStr">
        <is>
          <t>mm</t>
        </is>
      </c>
      <c r="D7" s="4" t="inlineStr">
        <is>
          <t>§4.1</t>
        </is>
      </c>
      <c r="E7" s="4" t="inlineStr"/>
    </row>
    <row r="8">
      <c r="A8" s="2" t="inlineStr">
        <is>
          <t>盖顶</t>
        </is>
      </c>
      <c r="B8" s="3" t="n">
        <v>2</v>
      </c>
      <c r="C8" s="4" t="inlineStr">
        <is>
          <t>mm</t>
        </is>
      </c>
      <c r="D8" s="4" t="inlineStr">
        <is>
          <t>§4.1</t>
        </is>
      </c>
      <c r="E8" s="4" t="inlineStr"/>
    </row>
    <row r="9">
      <c r="A9" s="2" t="inlineStr">
        <is>
          <t>窗宽</t>
        </is>
      </c>
      <c r="B9" s="3" t="n">
        <v>40</v>
      </c>
      <c r="C9" s="4" t="inlineStr">
        <is>
          <t>mm</t>
        </is>
      </c>
      <c r="D9" s="4" t="inlineStr">
        <is>
          <t>§4.1</t>
        </is>
      </c>
      <c r="E9" s="4" t="inlineStr">
        <is>
          <t>40</t>
        </is>
      </c>
    </row>
    <row r="10">
      <c r="A10" s="2" t="inlineStr">
        <is>
          <t>窗高</t>
        </is>
      </c>
      <c r="B10" s="3" t="n">
        <v>32</v>
      </c>
      <c r="C10" s="4" t="inlineStr">
        <is>
          <t>mm</t>
        </is>
      </c>
      <c r="D10" s="4" t="inlineStr">
        <is>
          <t>§4.1</t>
        </is>
      </c>
      <c r="E10" s="4" t="inlineStr">
        <is>
          <t>32</t>
        </is>
      </c>
    </row>
    <row r="11">
      <c r="A11" s="2" t="inlineStr">
        <is>
          <t>槽数</t>
        </is>
      </c>
      <c r="B11" s="3" t="n">
        <v>48</v>
      </c>
      <c r="C11" s="4" t="inlineStr">
        <is>
          <t>条</t>
        </is>
      </c>
      <c r="D11" s="4" t="inlineStr">
        <is>
          <t>§4.2</t>
        </is>
      </c>
      <c r="E11" s="4" t="inlineStr"/>
    </row>
    <row r="12">
      <c r="A12" s="2" t="inlineStr">
        <is>
          <t>肋数</t>
        </is>
      </c>
      <c r="B12" s="3" t="n">
        <v>49</v>
      </c>
      <c r="C12" s="4" t="inlineStr">
        <is>
          <t>条</t>
        </is>
      </c>
      <c r="D12" s="4" t="inlineStr">
        <is>
          <t>§4.2</t>
        </is>
      </c>
      <c r="E12" s="4" t="inlineStr"/>
    </row>
    <row r="13">
      <c r="A13" s="2" t="inlineStr">
        <is>
          <t>槽宽</t>
        </is>
      </c>
      <c r="B13" s="3" t="n">
        <v>0.4</v>
      </c>
      <c r="C13" s="4" t="inlineStr">
        <is>
          <t>mm</t>
        </is>
      </c>
      <c r="D13" s="4" t="inlineStr">
        <is>
          <t>§4.2</t>
        </is>
      </c>
      <c r="E13" s="4" t="inlineStr">
        <is>
          <t>肋宽与槽宽相同</t>
        </is>
      </c>
    </row>
    <row r="14">
      <c r="A14" s="2" t="inlineStr">
        <is>
          <t>槽深</t>
        </is>
      </c>
      <c r="B14" s="3" t="n">
        <v>1.2</v>
      </c>
      <c r="C14" s="4" t="inlineStr">
        <is>
          <t>mm</t>
        </is>
      </c>
      <c r="D14" s="4" t="inlineStr">
        <is>
          <t>§4.2</t>
        </is>
      </c>
      <c r="E14" s="4" t="inlineStr"/>
    </row>
    <row r="15">
      <c r="A15" s="2" t="inlineStr">
        <is>
          <t>墙</t>
        </is>
      </c>
      <c r="B15" s="3" t="n">
        <v>0.8</v>
      </c>
      <c r="C15" s="4" t="inlineStr">
        <is>
          <t>mm</t>
        </is>
      </c>
      <c r="D15" s="4" t="inlineStr">
        <is>
          <t>§4.3</t>
        </is>
      </c>
      <c r="E15" s="4" t="inlineStr">
        <is>
          <t>0.8</t>
        </is>
      </c>
    </row>
    <row r="16">
      <c r="A16" s="2" t="inlineStr">
        <is>
          <t>口长</t>
        </is>
      </c>
      <c r="B16" s="3" t="n">
        <v>1.6</v>
      </c>
      <c r="C16" s="4" t="inlineStr">
        <is>
          <t>mm</t>
        </is>
      </c>
      <c r="D16" s="4" t="inlineStr">
        <is>
          <t>§4.2</t>
        </is>
      </c>
      <c r="E16" s="4" t="inlineStr">
        <is>
          <t>1.6</t>
        </is>
      </c>
    </row>
    <row r="17">
      <c r="A17" s="2" t="inlineStr">
        <is>
          <t>间隔</t>
        </is>
      </c>
      <c r="B17" s="3" t="n">
        <v>1.2</v>
      </c>
      <c r="C17" s="4" t="inlineStr">
        <is>
          <t>mm</t>
        </is>
      </c>
      <c r="D17" s="4" t="inlineStr">
        <is>
          <t>§4.3</t>
        </is>
      </c>
      <c r="E17" s="4" t="inlineStr">
        <is>
          <t>1.2</t>
        </is>
      </c>
    </row>
    <row r="18">
      <c r="A18" s="2" t="inlineStr">
        <is>
          <t>干管余铜</t>
        </is>
      </c>
      <c r="B18" s="3" t="n">
        <v>1</v>
      </c>
      <c r="C18" s="4" t="inlineStr">
        <is>
          <t>mm</t>
        </is>
      </c>
      <c r="D18" s="4" t="inlineStr">
        <is>
          <t>§4.1</t>
        </is>
      </c>
      <c r="E18" s="4" t="inlineStr">
        <is>
          <t>局部</t>
        </is>
      </c>
    </row>
    <row r="19">
      <c r="A19" s="2" t="inlineStr">
        <is>
          <t>干管深</t>
        </is>
      </c>
      <c r="B19" s="3" t="n">
        <v>5</v>
      </c>
      <c r="C19" s="4" t="inlineStr">
        <is>
          <t>mm</t>
        </is>
      </c>
      <c r="D19" s="4" t="inlineStr">
        <is>
          <t>§4.4</t>
        </is>
      </c>
      <c r="E19" s="4" t="inlineStr">
        <is>
          <t>z 1–6</t>
        </is>
      </c>
    </row>
    <row r="20">
      <c r="A20" s="2" t="inlineStr">
        <is>
          <t>孔板孔径</t>
        </is>
      </c>
      <c r="B20" s="3" t="n">
        <v>1.04</v>
      </c>
      <c r="C20" s="4" t="inlineStr">
        <is>
          <t>mm</t>
        </is>
      </c>
      <c r="D20" s="4" t="inlineStr">
        <is>
          <t>§4.4</t>
        </is>
      </c>
      <c r="E20" s="4" t="inlineStr"/>
    </row>
    <row r="21">
      <c r="A21" s="2" t="inlineStr">
        <is>
          <t>孔板孔数</t>
        </is>
      </c>
      <c r="B21" s="3" t="n">
        <v>4</v>
      </c>
      <c r="C21" s="4" t="inlineStr">
        <is>
          <t>个</t>
        </is>
      </c>
      <c r="D21" s="4" t="inlineStr">
        <is>
          <t>§4.4</t>
        </is>
      </c>
      <c r="E21" s="4" t="inlineStr"/>
    </row>
    <row r="22">
      <c r="A22" s="2" t="inlineStr">
        <is>
          <t>左干管起点</t>
        </is>
      </c>
      <c r="B22" s="3" t="n">
        <v>6.5</v>
      </c>
      <c r="C22" s="4" t="inlineStr">
        <is>
          <t>mm</t>
        </is>
      </c>
      <c r="D22" s="4" t="inlineStr">
        <is>
          <t>§4.4</t>
        </is>
      </c>
      <c r="E22" s="4" t="inlineStr">
        <is>
          <t>6.5</t>
        </is>
      </c>
    </row>
    <row r="23">
      <c r="A23" s="2" t="inlineStr">
        <is>
          <t>干管宽</t>
        </is>
      </c>
      <c r="B23" s="3" t="n">
        <v>7</v>
      </c>
      <c r="C23" s="4" t="inlineStr">
        <is>
          <t>mm</t>
        </is>
      </c>
      <c r="D23" s="4" t="inlineStr">
        <is>
          <t>§4.4</t>
        </is>
      </c>
      <c r="E23" s="4" t="inlineStr"/>
    </row>
    <row r="24">
      <c r="A24" s="2" t="inlineStr">
        <is>
          <t>内存窗宽</t>
        </is>
      </c>
      <c r="B24" s="3" t="n">
        <v>50</v>
      </c>
      <c r="C24" s="4" t="inlineStr">
        <is>
          <t>mm</t>
        </is>
      </c>
      <c r="D24" s="4" t="inlineStr">
        <is>
          <t>§4.1</t>
        </is>
      </c>
      <c r="E24" s="4" t="inlineStr">
        <is>
          <t>整板 X 链用</t>
        </is>
      </c>
    </row>
    <row r="25">
      <c r="A25" s="2" t="inlineStr">
        <is>
          <t>窗间铜</t>
        </is>
      </c>
      <c r="B25" s="3" t="n">
        <v>16</v>
      </c>
      <c r="C25" s="4" t="inlineStr">
        <is>
          <t>mm</t>
        </is>
      </c>
      <c r="D25" s="4" t="inlineStr">
        <is>
          <t>坐标相减</t>
        </is>
      </c>
      <c r="E25" s="4" t="inlineStr">
        <is>
          <t>16</t>
        </is>
      </c>
    </row>
    <row r="26">
      <c r="A26" s="2" t="inlineStr">
        <is>
          <t>干管到内存</t>
        </is>
      </c>
      <c r="B26" s="3" t="n">
        <v>0.5</v>
      </c>
      <c r="C26" s="4" t="inlineStr">
        <is>
          <t>mm</t>
        </is>
      </c>
      <c r="D26" s="4" t="inlineStr">
        <is>
          <t>13.5 到 14</t>
        </is>
      </c>
      <c r="E26" s="4" t="inlineStr">
        <is>
          <t>右侧同样</t>
        </is>
      </c>
    </row>
  </sheetData>
  <autoFilter ref="A1:E26"/>
  <pageMargins left="0.75" right="0.75" top="1" bottom="1" header="0.5" footer="0.5"/>
  <pageSetup orientation="landscape" fitToHeight="0" fitToWidth="1"/>
  <headerFooter>
    <oddHeader>&amp;L输入</oddHeader>
    <oddFooter>&amp;R尺寸核实2 · 公式重算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4" customWidth="1" min="3" max="3"/>
    <col width="14" customWidth="1" min="4" max="4"/>
    <col width="12" customWidth="1" min="5" max="5"/>
    <col width="12" customWidth="1" min="6" max="6"/>
    <col width="45" customWidth="1" min="7" max="7"/>
  </cols>
  <sheetData>
    <row r="1" ht="22" customHeight="1">
      <c r="A1" s="1" t="inlineStr">
        <is>
          <t>链</t>
        </is>
      </c>
      <c r="B1" s="1" t="inlineStr">
        <is>
          <t>算式（公式）</t>
        </is>
      </c>
      <c r="C1" s="1" t="inlineStr">
        <is>
          <t>结果</t>
        </is>
      </c>
      <c r="D1" s="1" t="inlineStr">
        <is>
          <t>期望</t>
        </is>
      </c>
      <c r="E1" s="1" t="inlineStr">
        <is>
          <t>差</t>
        </is>
      </c>
      <c r="F1" s="1" t="inlineStr">
        <is>
          <t>判定</t>
        </is>
      </c>
      <c r="G1" s="1" t="inlineStr">
        <is>
          <t>说明</t>
        </is>
      </c>
    </row>
    <row r="2" ht="32" customHeight="1">
      <c r="A2" s="4" t="inlineStr">
        <is>
          <t>厚度</t>
        </is>
      </c>
      <c r="B2" s="5" t="inlineStr">
        <is>
          <t>底板+通道层+分型+内腔+盖顶</t>
        </is>
      </c>
      <c r="C2" s="6">
        <f>输入!B4+输入!B5+输入!B6+输入!B7+输入!B8</f>
        <v/>
      </c>
      <c r="D2" s="6" t="n">
        <v>8</v>
      </c>
      <c r="E2" s="6">
        <f>C2-D2</f>
        <v/>
      </c>
      <c r="F2" s="2">
        <f>IF(ABS(E2)&lt;0.001,"闭合","不闭合")</f>
        <v/>
      </c>
      <c r="G2" s="4" t="inlineStr"/>
    </row>
    <row r="3" ht="32" customHeight="1">
      <c r="A3" s="4" t="inlineStr">
        <is>
          <t>肋场</t>
        </is>
      </c>
      <c r="B3" s="5" t="inlineStr">
        <is>
          <t>肋数×槽宽+槽数×槽宽</t>
        </is>
      </c>
      <c r="C3" s="6">
        <f>输入!B12*输入!B13+输入!B11*输入!B13</f>
        <v/>
      </c>
      <c r="D3" s="6" t="n">
        <v>38.8</v>
      </c>
      <c r="E3" s="6">
        <f>C3-D3</f>
        <v/>
      </c>
      <c r="F3" s="2">
        <f>IF(ABS(E3)&lt;0.001,"闭合","不闭合")</f>
        <v/>
      </c>
      <c r="G3" s="4" t="inlineStr"/>
    </row>
    <row r="4" ht="32" customHeight="1">
      <c r="A4" s="4" t="inlineStr">
        <is>
          <t>边铜</t>
        </is>
      </c>
      <c r="B4" s="5" t="inlineStr">
        <is>
          <t>(窗宽-肋场)/2</t>
        </is>
      </c>
      <c r="C4" s="6">
        <f>(输入!B9-(输入!B12*输入!B13+输入!B11*输入!B13))/2</f>
        <v/>
      </c>
      <c r="D4" s="6" t="n">
        <v>0.6</v>
      </c>
      <c r="E4" s="6">
        <f>C4-D4</f>
        <v/>
      </c>
      <c r="F4" s="2">
        <f>IF(ABS(E4)&lt;0.001,"闭合","不闭合")</f>
        <v/>
      </c>
      <c r="G4" s="4" t="inlineStr"/>
    </row>
    <row r="5" ht="32" customHeight="1">
      <c r="A5" s="4" t="inlineStr">
        <is>
          <t>口带高</t>
        </is>
      </c>
      <c r="B5" s="5" t="inlineStr">
        <is>
          <t>4×墙+4×口长+2×间隔+窗高</t>
        </is>
      </c>
      <c r="C5" s="6">
        <f>4*输入!B15+4*输入!B16+2*输入!B17+输入!B10</f>
        <v/>
      </c>
      <c r="D5" s="6" t="n">
        <v>44</v>
      </c>
      <c r="E5" s="6">
        <f>C5-D5</f>
        <v/>
      </c>
      <c r="F5" s="2">
        <f>IF(ABS(E5)&lt;0.001,"闭合","不闭合")</f>
        <v/>
      </c>
      <c r="G5" s="4" t="inlineStr">
        <is>
          <t>Y 38 到 82</t>
        </is>
      </c>
    </row>
    <row r="6" ht="32" customHeight="1">
      <c r="A6" s="4" t="inlineStr">
        <is>
          <t>润湿</t>
        </is>
      </c>
      <c r="B6" s="5" t="inlineStr">
        <is>
          <t>口带高-(3×墙+1个另一流向的口)</t>
        </is>
      </c>
      <c r="C6" s="6">
        <f>4*输入!B15+4*输入!B16+2*输入!B17+输入!B10-(3*输入!B15+输入!B16)</f>
        <v/>
      </c>
      <c r="D6" s="6" t="n">
        <v>40</v>
      </c>
      <c r="E6" s="6">
        <f>C6-D6</f>
        <v/>
      </c>
      <c r="F6" s="2">
        <f>IF(ABS(E6)&lt;0.001,"闭合","不闭合")</f>
        <v/>
      </c>
      <c r="G6" s="4" t="inlineStr">
        <is>
          <t>44 里去掉前端墙、前隔墙、后端墙和另一流向的口，共 4 mm</t>
        </is>
      </c>
    </row>
    <row r="7" ht="32" customHeight="1">
      <c r="A7" s="4" t="inlineStr">
        <is>
          <t>Y居中</t>
        </is>
      </c>
      <c r="B7" s="5" t="inlineStr">
        <is>
          <t>(板高-口带高)/2</t>
        </is>
      </c>
      <c r="C7" s="6">
        <f>(输入!B3-(4*输入!B15+4*输入!B16+2*输入!B17+输入!B10))/2</f>
        <v/>
      </c>
      <c r="D7" s="6" t="n">
        <v>38</v>
      </c>
      <c r="E7" s="6">
        <f>C7-D7</f>
        <v/>
      </c>
      <c r="F7" s="2">
        <f>IF(ABS(E7)&lt;0.001,"闭合","不闭合")</f>
        <v/>
      </c>
      <c r="G7" s="4" t="inlineStr">
        <is>
          <t>下边应等于 38，槽场从 38 起</t>
        </is>
      </c>
    </row>
    <row r="8" ht="32" customHeight="1">
      <c r="A8" s="4" t="inlineStr">
        <is>
          <t>干管局部厚</t>
        </is>
      </c>
      <c r="B8" s="5" t="inlineStr">
        <is>
          <t>干管余铜+干管深+盖顶</t>
        </is>
      </c>
      <c r="C8" s="6">
        <f>输入!B18+输入!B19+输入!B8</f>
        <v/>
      </c>
      <c r="D8" s="6" t="n">
        <v>8</v>
      </c>
      <c r="E8" s="6">
        <f>C8-D8</f>
        <v/>
      </c>
      <c r="F8" s="2">
        <f>IF(ABS(E8)&lt;0.001,"闭合","不闭合")</f>
        <v/>
      </c>
      <c r="G8" s="4" t="inlineStr"/>
    </row>
    <row r="9" ht="32" customHeight="1">
      <c r="A9" s="4" t="inlineStr">
        <is>
          <t>整板X</t>
        </is>
      </c>
      <c r="B9" s="5" t="inlineStr">
        <is>
          <t>2×(干管起点+干管宽+缝+内存窗宽+窗间铜)+窗宽</t>
        </is>
      </c>
      <c r="C9" s="6">
        <f>2*(输入!B22+输入!B23+输入!B26+输入!B24+输入!B25)+输入!B9</f>
        <v/>
      </c>
      <c r="D9" s="6" t="n">
        <v>200</v>
      </c>
      <c r="E9" s="6">
        <f>C9-D9</f>
        <v/>
      </c>
      <c r="F9" s="2">
        <f>IF(ABS(E9)&lt;0.001,"闭合","不闭合")</f>
        <v/>
      </c>
      <c r="G9" s="4" t="inlineStr">
        <is>
          <t>左右对称</t>
        </is>
      </c>
    </row>
    <row r="10" ht="32" customHeight="1">
      <c r="A10" s="4" t="inlineStr">
        <is>
          <t>孔板等效直径</t>
        </is>
      </c>
      <c r="B10" s="5" t="inlineStr">
        <is>
          <t>孔径×SQRT(孔数)</t>
        </is>
      </c>
      <c r="C10" s="6">
        <f>输入!B20*SQRT(输入!B21)</f>
        <v/>
      </c>
      <c r="D10" s="6" t="n">
        <v>2.08</v>
      </c>
      <c r="E10" s="6">
        <f>C10-D10</f>
        <v/>
      </c>
      <c r="F10" s="2">
        <f>IF(ABS(E10)&lt;0.001,"闭合","不闭合")</f>
        <v/>
      </c>
      <c r="G10" s="4" t="inlineStr">
        <is>
          <t>报告写 2.09。本行期望 2.08，闭合表示按四孔面积</t>
        </is>
      </c>
    </row>
  </sheetData>
  <autoFilter ref="A1:G1"/>
  <pageMargins left="0.75" right="0.75" top="1" bottom="1" header="0.5" footer="0.5"/>
  <pageSetup orientation="landscape" fitToHeight="0" fitToWidth="1"/>
  <headerFooter>
    <oddHeader>&amp;L尺寸链</oddHeader>
    <oddFooter>&amp;R尺寸核实2 · 公式重算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40" customWidth="1" min="7" max="7"/>
  </cols>
  <sheetData>
    <row r="1" ht="22" customHeight="1">
      <c r="A1" s="1" t="inlineStr">
        <is>
          <t>站</t>
        </is>
      </c>
      <c r="B1" s="1" t="inlineStr">
        <is>
          <t>增量</t>
        </is>
      </c>
      <c r="C1" s="1" t="inlineStr">
        <is>
          <t>累计</t>
        </is>
      </c>
      <c r="D1" s="1" t="inlineStr">
        <is>
          <t>图纸坐标</t>
        </is>
      </c>
      <c r="E1" s="1" t="inlineStr">
        <is>
          <t>差</t>
        </is>
      </c>
      <c r="F1" s="1" t="inlineStr">
        <is>
          <t>判定</t>
        </is>
      </c>
      <c r="G1" s="1" t="inlineStr">
        <is>
          <t>说明</t>
        </is>
      </c>
    </row>
    <row r="2">
      <c r="A2" s="4" t="inlineStr">
        <is>
          <t>窗口左缘</t>
        </is>
      </c>
      <c r="B2" s="6" t="n">
        <v>80</v>
      </c>
      <c r="C2" s="6">
        <f>B2</f>
        <v/>
      </c>
      <c r="D2" s="6" t="n">
        <v>80</v>
      </c>
      <c r="E2" s="6">
        <f>C2-D2</f>
        <v/>
      </c>
      <c r="F2" s="2">
        <f>IF(ABS(E2)&lt;0.001,"一致","偏差")</f>
        <v/>
      </c>
      <c r="G2" s="4" t="inlineStr">
        <is>
          <t>图纸 X=80</t>
        </is>
      </c>
    </row>
    <row r="3">
      <c r="A3" s="4" t="inlineStr">
        <is>
          <t>肋场起点</t>
        </is>
      </c>
      <c r="B3" s="6">
        <f>(输入!B9-(输入!B12*输入!B13+输入!B11*输入!B13))/2</f>
        <v/>
      </c>
      <c r="C3" s="6">
        <f>C2+B3</f>
        <v/>
      </c>
      <c r="D3" s="6" t="n">
        <v>80.59999999999999</v>
      </c>
      <c r="E3" s="6">
        <f>C3-D3</f>
        <v/>
      </c>
      <c r="F3" s="2">
        <f>IF(ABS(E3)&lt;0.001,"一致","偏差")</f>
        <v/>
      </c>
      <c r="G3" s="4" t="inlineStr"/>
    </row>
    <row r="4">
      <c r="A4" s="4" t="inlineStr">
        <is>
          <t>肋场终点</t>
        </is>
      </c>
      <c r="B4" s="6">
        <f>输入!B12*输入!B13+输入!B11*输入!B13</f>
        <v/>
      </c>
      <c r="C4" s="6">
        <f>C3+B4</f>
        <v/>
      </c>
      <c r="D4" s="6" t="n">
        <v>119.4</v>
      </c>
      <c r="E4" s="6">
        <f>C4-D4</f>
        <v/>
      </c>
      <c r="F4" s="2">
        <f>IF(ABS(E4)&lt;0.001,"一致","偏差")</f>
        <v/>
      </c>
      <c r="G4" s="4" t="inlineStr"/>
    </row>
    <row r="5">
      <c r="A5" s="4" t="inlineStr">
        <is>
          <t>窗口右缘</t>
        </is>
      </c>
      <c r="B5" s="6">
        <f>(输入!B9-(输入!B12*输入!B13+输入!B11*输入!B13))/2</f>
        <v/>
      </c>
      <c r="C5" s="6">
        <f>C4+B5</f>
        <v/>
      </c>
      <c r="D5" s="6" t="n">
        <v>120</v>
      </c>
      <c r="E5" s="6">
        <f>C5-D5</f>
        <v/>
      </c>
      <c r="F5" s="2">
        <f>IF(ABS(E5)&lt;0.001,"一致","偏差")</f>
        <v/>
      </c>
      <c r="G5" s="4" t="inlineStr"/>
    </row>
  </sheetData>
  <autoFilter ref="A1:G1"/>
  <pageMargins left="0.75" right="0.75" top="1" bottom="1" header="0.5" footer="0.5"/>
  <pageSetup orientation="landscape" fitToHeight="0" fitToWidth="1"/>
  <headerFooter>
    <oddHeader>&amp;L核实2</oddHeader>
    <oddFooter>&amp;R尺寸核实2 · 公式重算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6" customHeight="1">
      <c r="A1" s="7" t="inlineStr">
        <is>
          <t>润湿长度：口带 44 mm 减去前端墙、前隔墙、后端墙和另一流向的口（3×0.8+1.6=4），得到 40 mm。奇数槽 81.2−41.2、偶数槽 78.8−38.8 是同一结果。</t>
        </is>
      </c>
    </row>
    <row r="2" ht="36" customHeight="1">
      <c r="A2" s="7" t="inlineStr">
        <is>
          <t>孔板等效直径按 1.04×√4 = 2.08。报告写 2.09，差 0.01 mm，不另设尺寸环。</t>
        </is>
      </c>
    </row>
    <row r="3" ht="36" customHeight="1">
      <c r="A3" s="7" t="inlineStr">
        <is>
          <t>干管余铜 1.0 mm 使局部厚度链仍等于 8，但低于 B300 冷板 1.8 mm 的余铜下限。这是刚度问题，不是加法错误。</t>
        </is>
      </c>
    </row>
    <row r="4" ht="36" customHeight="1">
      <c r="A4" s="7" t="inlineStr">
        <is>
          <t>内存 6 槽和节距不在本工作簿。见 LPDDR5X_内存冷板_尺寸核实2计算.xlsx。</t>
        </is>
      </c>
    </row>
    <row r="5" ht="36" customHeight="1">
      <c r="A5" s="7" t="inlineStr">
        <is>
          <t>报告未给 CPU 槽公差，本表没有极值列。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2026-09-29T00:11:04Z</dcterms:created>
  <dcterms:modified xmlns:dcterms="http://purl.org/dc/terms/" xmlns:xsi="http://www.w3.org/2001/XMLSchema-instance" xsi:type="dcterms:W3CDTF">2026-09-29T00:11:04Z</dcterms:modified>
</cp:coreProperties>
</file>