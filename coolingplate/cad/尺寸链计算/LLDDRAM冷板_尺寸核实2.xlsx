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输入参数" sheetId="2" state="visible" r:id="rId2"/>
    <sheet xmlns:r="http://schemas.openxmlformats.org/officeDocument/2006/relationships" name="结构布局" sheetId="3" state="visible" r:id="rId3"/>
    <sheet xmlns:r="http://schemas.openxmlformats.org/officeDocument/2006/relationships" name="结构尺寸" sheetId="4" state="visible" r:id="rId4"/>
    <sheet xmlns:r="http://schemas.openxmlformats.org/officeDocument/2006/relationships" name="尺寸核实2" sheetId="5" state="visible" r:id="rId5"/>
  </sheets>
  <definedNames>
    <definedName name="plate_L">'输入参数'!$C$4</definedName>
    <definedName name="plate_W">'输入参数'!$C$5</definedName>
    <definedName name="plate_T">'输入参数'!$C$6</definedName>
    <definedName name="cavity_y">'输入参数'!$C$7</definedName>
    <definedName name="seal">'输入参数'!$C$8</definedName>
    <definedName name="to_rail">'输入参数'!$C$9</definedName>
    <definedName name="rail_w">'输入参数'!$C$10</definedName>
    <definedName name="rail_gap">'输入参数'!$C$11</definedName>
    <definedName name="mem_w">'输入参数'!$C$12</definedName>
    <definedName name="gap_zone">'输入参数'!$C$13</definedName>
    <definedName name="cpu_w">'输入参数'!$C$14</definedName>
    <definedName name="cpu_x0">'输入参数'!$C$15</definedName>
    <definedName name="cpu_x1_margin">'输入参数'!$C$16</definedName>
    <definedName name="base">'输入参数'!$C$17</definedName>
    <definedName name="cpu_h">'输入参数'!$C$18</definedName>
    <definedName name="z_seal">'输入参数'!$C$19</definedName>
    <definedName name="z_cav">'输入参数'!$C$20</definedName>
    <definedName name="z_lid">'输入参数'!$C$21</definedName>
    <definedName name="z_part">'输入参数'!$C$22</definedName>
    <definedName name="n_ch">'输入参数'!$C$23</definedName>
    <definedName name="n_rib">'输入参数'!$C$24</definedName>
    <definedName name="ch_w">'输入参数'!$C$25</definedName>
    <definedName name="rib_thk">'输入参数'!$C$26</definedName>
    <definedName name="field">'输入参数'!$C$27</definedName>
    <definedName name="shore">'输入参数'!$C$28</definedName>
    <definedName name="y0">'输入参数'!$C$29</definedName>
    <definedName name="y1">'输入参数'!$C$30</definedName>
    <definedName name="wall">'输入参数'!$C$31</definedName>
    <definedName name="port">'输入参数'!$C$32</definedName>
    <definedName name="neck">'输入参数'!$C$33</definedName>
    <definedName name="heat">'输入参数'!$C$34</definedName>
    <definedName name="wet">'输入参数'!$C$35</definedName>
    <definedName name="rear_m">'输入参数'!$C$36</definedName>
    <definedName name="mem_y0">'输入参数'!$C$37</definedName>
    <definedName name="mem_y1">'输入参数'!$C$38</definedName>
    <definedName name="mem_heat">'输入参数'!$C$39</definedName>
    <definedName name="mem_wet">'输入参数'!$C$40</definedName>
    <definedName name="mem_margin">'输入参数'!$C$41</definedName>
    <definedName name="mem_ch_w">'输入参数'!$C$42</definedName>
    <definedName name="mem_ch_h">'输入参数'!$C$43</definedName>
    <definedName name="mem_cap">'输入参数'!$C$44</definedName>
    <definedName name="mem_n">'输入参数'!$C$45</definedName>
    <definedName name="pitch">'输入参数'!$C$46</definedName>
    <definedName name="pitch8">'输入参数'!$C$47</definedName>
    <definedName name="mem_win">'输入参数'!$C$48</definedName>
    <definedName name="slit_w">'输入参数'!$C$49</definedName>
    <definedName name="slit_h">'输入参数'!$C$50</definedName>
    <definedName name="slit_L">'输入参数'!$C$51</definedName>
    <definedName name="_xlnm.Print_Titles" localSheetId="0">'封面'!$1:$1</definedName>
    <definedName name="_xlnm._FilterDatabase" localSheetId="1" hidden="1">'输入参数'!$A$3:$D$51</definedName>
    <definedName name="_xlnm.Print_Titles" localSheetId="1">'输入参数'!$1:$3</definedName>
    <definedName name="_xlnm._FilterDatabase" localSheetId="2" hidden="1">'结构布局'!$A$3:$C$9</definedName>
    <definedName name="_xlnm.Print_Titles" localSheetId="2">'结构布局'!$1:$3</definedName>
    <definedName name="_xlnm._FilterDatabase" localSheetId="3" hidden="1">'结构尺寸'!$A$3:$D$11</definedName>
    <definedName name="_xlnm.Print_Titles" localSheetId="3">'结构尺寸'!$1:$3</definedName>
    <definedName name="_xlnm.Print_Titles" localSheetId="4">'尺寸核实2'!$1:$2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8">
    <font>
      <name val="Calibri"/>
      <family val="2"/>
      <color theme="1"/>
      <sz val="11"/>
      <scheme val="minor"/>
    </font>
    <font>
      <name val="微软雅黑"/>
      <b val="1"/>
      <color rgb="000E3A5D"/>
      <sz val="20"/>
    </font>
    <font>
      <name val="微软雅黑"/>
      <b val="1"/>
      <sz val="11"/>
    </font>
    <font>
      <name val="微软雅黑"/>
      <sz val="11"/>
    </font>
    <font>
      <name val="微软雅黑"/>
      <b val="1"/>
      <color rgb="000E3A5D"/>
      <sz val="16"/>
    </font>
    <font>
      <name val="微软雅黑"/>
      <b val="1"/>
      <color rgb="00FFFFFF"/>
      <sz val="11"/>
    </font>
    <font>
      <name val="Consolas"/>
      <sz val="10"/>
    </font>
    <font>
      <name val="微软雅黑"/>
      <color rgb="000B3A66"/>
      <sz val="11"/>
    </font>
  </fonts>
  <fills count="6">
    <fill>
      <patternFill/>
    </fill>
    <fill>
      <patternFill patternType="gray125"/>
    </fill>
    <fill>
      <patternFill patternType="solid">
        <fgColor rgb="000E3A5D"/>
      </patternFill>
    </fill>
    <fill>
      <patternFill patternType="solid">
        <fgColor rgb="00D6E6F5"/>
      </patternFill>
    </fill>
    <fill>
      <patternFill patternType="solid">
        <fgColor rgb="00EEF3F8"/>
      </patternFill>
    </fill>
    <fill>
      <patternFill patternType="solid">
        <fgColor rgb="00F8E8C8"/>
      </patternFill>
    </fill>
  </fills>
  <borders count="2">
    <border>
      <left/>
      <right/>
      <top/>
      <bottom/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2" borderId="0" pivotButton="0" quotePrefix="0" xfId="0"/>
    <xf numFmtId="0" fontId="2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165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center"/>
    </xf>
    <xf numFmtId="0" fontId="3" fillId="0" borderId="1" pivotButton="0" quotePrefix="0" xfId="0"/>
    <xf numFmtId="165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6" customHeight="1">
      <c r="A1" s="1" t="inlineStr">
        <is>
          <t>LLDDRAM 冷板（LPDDR5X）</t>
        </is>
      </c>
    </row>
    <row r="3" ht="32" customHeight="1">
      <c r="A3" s="2" t="inlineStr">
        <is>
          <t>文件</t>
        </is>
      </c>
      <c r="B3" s="3" t="inlineStr">
        <is>
          <t>DC-LPD-VER2</t>
        </is>
      </c>
    </row>
    <row r="4" ht="32" customHeight="1">
      <c r="A4" s="2" t="inlineStr">
        <is>
          <t>日期</t>
        </is>
      </c>
      <c r="B4" s="3" t="inlineStr">
        <is>
          <t>2026-09-29</t>
        </is>
      </c>
    </row>
    <row r="5" ht="32" customHeight="1">
      <c r="A5" s="2" t="inlineStr">
        <is>
          <t>核实内容</t>
        </is>
      </c>
      <c r="B5" s="3" t="inlineStr">
        <is>
          <t>结构布局坐标、结构尺寸、名义尺寸链</t>
        </is>
      </c>
    </row>
    <row r="6" ht="32" customHeight="1">
      <c r="A6" s="2" t="inlineStr">
        <is>
          <t>输入</t>
        </is>
      </c>
      <c r="B6" s="3" t="inlineStr">
        <is>
          <t>工作表「输入参数」中的蓝字。改蓝字后，尺寸核实2 的判定跟着变。</t>
        </is>
      </c>
    </row>
    <row r="7" ht="32" customHeight="1">
      <c r="A7" s="2" t="inlineStr">
        <is>
          <t>公式</t>
        </is>
      </c>
      <c r="B7" s="3" t="inlineStr">
        <is>
          <t>尺寸核实2 的和、差、判定都是公式，不要在那些格子里改数字。</t>
        </is>
      </c>
    </row>
    <row r="8" ht="32" customHeight="1">
      <c r="A8" s="2" t="inlineStr">
        <is>
          <t>公差</t>
        </is>
      </c>
      <c r="B8" s="3" t="inlineStr">
        <is>
          <t>源文件没有线性公差。本表只核名义尺寸是否相加等于封闭环。</t>
        </is>
      </c>
    </row>
    <row r="9" ht="32" customHeight="1">
      <c r="A9" s="2" t="inlineStr">
        <is>
          <t>打印</t>
        </is>
      </c>
      <c r="B9" s="3" t="inlineStr">
        <is>
          <t>各表已按 A4 横向设置。直接打印或导出 PDF，不必再改列宽。</t>
        </is>
      </c>
    </row>
  </sheetData>
  <mergeCells count="1">
    <mergeCell ref="A1:B1"/>
  </mergeCells>
  <pageMargins left="0.75" right="0.75" top="1" bottom="1" header="0.5" footer="0.5"/>
  <pageSetup orientation="portrait" paperSize="9" fitToHeight="1" fitToWidth="1"/>
  <headerFooter>
    <oddHeader>&amp;LLLDDRAM 冷板（LPDDR5X）</oddHeader>
    <oddFooter>&amp;CAIDCtms 冷却板  ·  尺寸核实2  ·  2026-09-29&amp;R第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D5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36" customWidth="1" min="4" max="4"/>
  </cols>
  <sheetData>
    <row r="1" ht="24" customHeight="1">
      <c r="A1" s="4" t="inlineStr">
        <is>
          <t>输入参数（蓝字可改）</t>
        </is>
      </c>
    </row>
    <row r="3" ht="22" customHeight="1">
      <c r="A3" s="5" t="inlineStr">
        <is>
          <t>名称</t>
        </is>
      </c>
      <c r="B3" s="5" t="inlineStr">
        <is>
          <t>符号</t>
        </is>
      </c>
      <c r="C3" s="5" t="inlineStr">
        <is>
          <t>数值 / mm</t>
        </is>
      </c>
      <c r="D3" s="5" t="inlineStr">
        <is>
          <t>说明</t>
        </is>
      </c>
    </row>
    <row r="4" ht="20" customHeight="1">
      <c r="A4" s="6" t="inlineStr">
        <is>
          <t>板宽</t>
        </is>
      </c>
      <c r="B4" s="7" t="inlineStr">
        <is>
          <t>plate_L</t>
        </is>
      </c>
      <c r="C4" s="8" t="n">
        <v>200</v>
      </c>
      <c r="D4" s="9" t="inlineStr">
        <is>
          <t>输入</t>
        </is>
      </c>
    </row>
    <row r="5" ht="20" customHeight="1">
      <c r="A5" s="6" t="inlineStr">
        <is>
          <t>板长</t>
        </is>
      </c>
      <c r="B5" s="7" t="inlineStr">
        <is>
          <t>plate_W</t>
        </is>
      </c>
      <c r="C5" s="8" t="n">
        <v>120</v>
      </c>
      <c r="D5" s="9" t="inlineStr">
        <is>
          <t>输入</t>
        </is>
      </c>
    </row>
    <row r="6" ht="20" customHeight="1">
      <c r="A6" s="6" t="inlineStr">
        <is>
          <t>板厚</t>
        </is>
      </c>
      <c r="B6" s="7" t="inlineStr">
        <is>
          <t>plate_T</t>
        </is>
      </c>
      <c r="C6" s="8" t="n">
        <v>8</v>
      </c>
      <c r="D6" s="9" t="inlineStr">
        <is>
          <t>输入</t>
        </is>
      </c>
    </row>
    <row r="7" ht="20" customHeight="1">
      <c r="A7" s="6" t="inlineStr">
        <is>
          <t>Y 向空腔净长</t>
        </is>
      </c>
      <c r="B7" s="7" t="inlineStr">
        <is>
          <t>cavity_y</t>
        </is>
      </c>
      <c r="C7" s="8" t="n">
        <v>108</v>
      </c>
      <c r="D7" s="9" t="inlineStr">
        <is>
          <t>输入</t>
        </is>
      </c>
    </row>
    <row r="8" ht="20" customHeight="1">
      <c r="A8" s="6" t="inlineStr">
        <is>
          <t>密封边</t>
        </is>
      </c>
      <c r="B8" s="7" t="inlineStr">
        <is>
          <t>seal</t>
        </is>
      </c>
      <c r="C8" s="8" t="n">
        <v>6</v>
      </c>
      <c r="D8" s="9" t="inlineStr">
        <is>
          <t>输入</t>
        </is>
      </c>
    </row>
    <row r="9" ht="20" customHeight="1">
      <c r="A9" s="6" t="inlineStr">
        <is>
          <t>边到干管</t>
        </is>
      </c>
      <c r="B9" s="7" t="inlineStr">
        <is>
          <t>to_rail</t>
        </is>
      </c>
      <c r="C9" s="8" t="n">
        <v>0.5</v>
      </c>
      <c r="D9" s="9" t="inlineStr">
        <is>
          <t>输入</t>
        </is>
      </c>
    </row>
    <row r="10" ht="20" customHeight="1">
      <c r="A10" s="6" t="inlineStr">
        <is>
          <t>干管宽</t>
        </is>
      </c>
      <c r="B10" s="7" t="inlineStr">
        <is>
          <t>rail_w</t>
        </is>
      </c>
      <c r="C10" s="8" t="n">
        <v>7</v>
      </c>
      <c r="D10" s="9" t="inlineStr">
        <is>
          <t>输入</t>
        </is>
      </c>
    </row>
    <row r="11" ht="20" customHeight="1">
      <c r="A11" s="6" t="inlineStr">
        <is>
          <t>干管到窗</t>
        </is>
      </c>
      <c r="B11" s="7" t="inlineStr">
        <is>
          <t>rail_gap</t>
        </is>
      </c>
      <c r="C11" s="8" t="n">
        <v>0.5</v>
      </c>
      <c r="D11" s="9" t="inlineStr">
        <is>
          <t>输入</t>
        </is>
      </c>
    </row>
    <row r="12" ht="20" customHeight="1">
      <c r="A12" s="6" t="inlineStr">
        <is>
          <t>内存窗宽</t>
        </is>
      </c>
      <c r="B12" s="7" t="inlineStr">
        <is>
          <t>mem_w</t>
        </is>
      </c>
      <c r="C12" s="8" t="n">
        <v>50</v>
      </c>
      <c r="D12" s="9" t="inlineStr">
        <is>
          <t>输入</t>
        </is>
      </c>
    </row>
    <row r="13" ht="20" customHeight="1">
      <c r="A13" s="6" t="inlineStr">
        <is>
          <t>窗间间隙</t>
        </is>
      </c>
      <c r="B13" s="7" t="inlineStr">
        <is>
          <t>gap_zone</t>
        </is>
      </c>
      <c r="C13" s="8" t="n">
        <v>16</v>
      </c>
      <c r="D13" s="9" t="inlineStr">
        <is>
          <t>输入</t>
        </is>
      </c>
    </row>
    <row r="14" ht="20" customHeight="1">
      <c r="A14" s="6" t="inlineStr">
        <is>
          <t>CPU 窗宽</t>
        </is>
      </c>
      <c r="B14" s="7" t="inlineStr">
        <is>
          <t>cpu_w</t>
        </is>
      </c>
      <c r="C14" s="8" t="n">
        <v>40</v>
      </c>
      <c r="D14" s="9" t="inlineStr">
        <is>
          <t>输入</t>
        </is>
      </c>
    </row>
    <row r="15" ht="20" customHeight="1">
      <c r="A15" s="6" t="inlineStr">
        <is>
          <t>CPU 左缘</t>
        </is>
      </c>
      <c r="B15" s="7" t="inlineStr">
        <is>
          <t>cpu_x0</t>
        </is>
      </c>
      <c r="C15" s="8" t="n">
        <v>80</v>
      </c>
      <c r="D15" s="9" t="inlineStr">
        <is>
          <t>输入</t>
        </is>
      </c>
    </row>
    <row r="16" ht="20" customHeight="1">
      <c r="A16" s="6" t="inlineStr">
        <is>
          <t>CPU 右侧到板边</t>
        </is>
      </c>
      <c r="B16" s="7" t="inlineStr">
        <is>
          <t>cpu_x1_margin</t>
        </is>
      </c>
      <c r="C16" s="8" t="n">
        <v>80</v>
      </c>
      <c r="D16" s="9" t="inlineStr">
        <is>
          <t>输入</t>
        </is>
      </c>
    </row>
    <row r="17" ht="20" customHeight="1">
      <c r="A17" s="6" t="inlineStr">
        <is>
          <t>底板</t>
        </is>
      </c>
      <c r="B17" s="7" t="inlineStr">
        <is>
          <t>base</t>
        </is>
      </c>
      <c r="C17" s="8" t="n">
        <v>2</v>
      </c>
      <c r="D17" s="9" t="inlineStr">
        <is>
          <t>输入</t>
        </is>
      </c>
    </row>
    <row r="18" ht="20" customHeight="1">
      <c r="A18" s="6" t="inlineStr">
        <is>
          <t>CPU 槽深</t>
        </is>
      </c>
      <c r="B18" s="7" t="inlineStr">
        <is>
          <t>cpu_h</t>
        </is>
      </c>
      <c r="C18" s="8" t="n">
        <v>1.2</v>
      </c>
      <c r="D18" s="9" t="inlineStr">
        <is>
          <t>输入</t>
        </is>
      </c>
    </row>
    <row r="19" ht="20" customHeight="1">
      <c r="A19" s="6" t="inlineStr">
        <is>
          <t>分型密封</t>
        </is>
      </c>
      <c r="B19" s="7" t="inlineStr">
        <is>
          <t>z_seal</t>
        </is>
      </c>
      <c r="C19" s="8" t="n">
        <v>0.3</v>
      </c>
      <c r="D19" s="9" t="inlineStr">
        <is>
          <t>输入</t>
        </is>
      </c>
    </row>
    <row r="20" ht="20" customHeight="1">
      <c r="A20" s="6" t="inlineStr">
        <is>
          <t>内腔</t>
        </is>
      </c>
      <c r="B20" s="7" t="inlineStr">
        <is>
          <t>z_cav</t>
        </is>
      </c>
      <c r="C20" s="8" t="n">
        <v>2.5</v>
      </c>
      <c r="D20" s="9" t="inlineStr">
        <is>
          <t>输入</t>
        </is>
      </c>
    </row>
    <row r="21" ht="20" customHeight="1">
      <c r="A21" s="6" t="inlineStr">
        <is>
          <t>盖顶</t>
        </is>
      </c>
      <c r="B21" s="7" t="inlineStr">
        <is>
          <t>z_lid</t>
        </is>
      </c>
      <c r="C21" s="8" t="n">
        <v>2</v>
      </c>
      <c r="D21" s="9" t="inlineStr">
        <is>
          <t>输入</t>
        </is>
      </c>
    </row>
    <row r="22" ht="20" customHeight="1">
      <c r="A22" s="6" t="inlineStr">
        <is>
          <t>分型面 z</t>
        </is>
      </c>
      <c r="B22" s="7" t="inlineStr">
        <is>
          <t>z_part</t>
        </is>
      </c>
      <c r="C22" s="8" t="n">
        <v>3.2</v>
      </c>
      <c r="D22" s="9" t="inlineStr">
        <is>
          <t>输入</t>
        </is>
      </c>
    </row>
    <row r="23" ht="20" customHeight="1">
      <c r="A23" s="6" t="inlineStr">
        <is>
          <t>CPU 槽数</t>
        </is>
      </c>
      <c r="B23" s="7" t="inlineStr">
        <is>
          <t>n_ch</t>
        </is>
      </c>
      <c r="C23" s="8" t="n">
        <v>48</v>
      </c>
      <c r="D23" s="9" t="inlineStr">
        <is>
          <t>输入</t>
        </is>
      </c>
    </row>
    <row r="24" ht="20" customHeight="1">
      <c r="A24" s="6" t="inlineStr">
        <is>
          <t>CPU 肋数</t>
        </is>
      </c>
      <c r="B24" s="7" t="inlineStr">
        <is>
          <t>n_rib</t>
        </is>
      </c>
      <c r="C24" s="8" t="n">
        <v>49</v>
      </c>
      <c r="D24" s="9" t="inlineStr">
        <is>
          <t>输入</t>
        </is>
      </c>
    </row>
    <row r="25" ht="20" customHeight="1">
      <c r="A25" s="6" t="inlineStr">
        <is>
          <t>CPU 槽宽</t>
        </is>
      </c>
      <c r="B25" s="7" t="inlineStr">
        <is>
          <t>ch_w</t>
        </is>
      </c>
      <c r="C25" s="8" t="n">
        <v>0.4</v>
      </c>
      <c r="D25" s="9" t="inlineStr">
        <is>
          <t>输入</t>
        </is>
      </c>
    </row>
    <row r="26" ht="20" customHeight="1">
      <c r="A26" s="6" t="inlineStr">
        <is>
          <t>CPU 肋厚</t>
        </is>
      </c>
      <c r="B26" s="7" t="inlineStr">
        <is>
          <t>rib_thk</t>
        </is>
      </c>
      <c r="C26" s="8" t="n">
        <v>0.4</v>
      </c>
      <c r="D26" s="9" t="inlineStr">
        <is>
          <t>输入</t>
        </is>
      </c>
    </row>
    <row r="27" ht="20" customHeight="1">
      <c r="A27" s="6" t="inlineStr">
        <is>
          <t>肋场宽</t>
        </is>
      </c>
      <c r="B27" s="7" t="inlineStr">
        <is>
          <t>field</t>
        </is>
      </c>
      <c r="C27" s="8" t="n">
        <v>38.8</v>
      </c>
      <c r="D27" s="9" t="inlineStr">
        <is>
          <t>输入</t>
        </is>
      </c>
    </row>
    <row r="28" ht="20" customHeight="1">
      <c r="A28" s="6" t="inlineStr">
        <is>
          <t>窗内岸</t>
        </is>
      </c>
      <c r="B28" s="7" t="inlineStr">
        <is>
          <t>shore</t>
        </is>
      </c>
      <c r="C28" s="8" t="n">
        <v>0.6</v>
      </c>
      <c r="D28" s="9" t="inlineStr">
        <is>
          <t>输入</t>
        </is>
      </c>
    </row>
    <row r="29" ht="20" customHeight="1">
      <c r="A29" s="6" t="inlineStr">
        <is>
          <t>CPU 口带起点</t>
        </is>
      </c>
      <c r="B29" s="7" t="inlineStr">
        <is>
          <t>y0</t>
        </is>
      </c>
      <c r="C29" s="8" t="n">
        <v>38</v>
      </c>
      <c r="D29" s="9" t="inlineStr">
        <is>
          <t>输入</t>
        </is>
      </c>
    </row>
    <row r="30" ht="20" customHeight="1">
      <c r="A30" s="6" t="inlineStr">
        <is>
          <t>CPU 口带终点</t>
        </is>
      </c>
      <c r="B30" s="7" t="inlineStr">
        <is>
          <t>y1</t>
        </is>
      </c>
      <c r="C30" s="8" t="n">
        <v>82</v>
      </c>
      <c r="D30" s="9" t="inlineStr">
        <is>
          <t>输入</t>
        </is>
      </c>
    </row>
    <row r="31" ht="20" customHeight="1">
      <c r="A31" s="6" t="inlineStr">
        <is>
          <t>端墙</t>
        </is>
      </c>
      <c r="B31" s="7" t="inlineStr">
        <is>
          <t>wall</t>
        </is>
      </c>
      <c r="C31" s="8" t="n">
        <v>0.8</v>
      </c>
      <c r="D31" s="9" t="inlineStr">
        <is>
          <t>输入</t>
        </is>
      </c>
    </row>
    <row r="32" ht="20" customHeight="1">
      <c r="A32" s="6" t="inlineStr">
        <is>
          <t>口长</t>
        </is>
      </c>
      <c r="B32" s="7" t="inlineStr">
        <is>
          <t>port</t>
        </is>
      </c>
      <c r="C32" s="8" t="n">
        <v>1.6</v>
      </c>
      <c r="D32" s="9" t="inlineStr">
        <is>
          <t>输入</t>
        </is>
      </c>
    </row>
    <row r="33" ht="20" customHeight="1">
      <c r="A33" s="6" t="inlineStr">
        <is>
          <t>未命名实铜</t>
        </is>
      </c>
      <c r="B33" s="7" t="inlineStr">
        <is>
          <t>neck</t>
        </is>
      </c>
      <c r="C33" s="8" t="n">
        <v>1.2</v>
      </c>
      <c r="D33" s="9" t="inlineStr">
        <is>
          <t>输入</t>
        </is>
      </c>
    </row>
    <row r="34" ht="20" customHeight="1">
      <c r="A34" s="6" t="inlineStr">
        <is>
          <t>CPU 受热长</t>
        </is>
      </c>
      <c r="B34" s="7" t="inlineStr">
        <is>
          <t>heat</t>
        </is>
      </c>
      <c r="C34" s="8" t="n">
        <v>32</v>
      </c>
      <c r="D34" s="9" t="inlineStr">
        <is>
          <t>输入</t>
        </is>
      </c>
    </row>
    <row r="35" ht="20" customHeight="1">
      <c r="A35" s="6" t="inlineStr">
        <is>
          <t>CPU 润湿长</t>
        </is>
      </c>
      <c r="B35" s="7" t="inlineStr">
        <is>
          <t>wet</t>
        </is>
      </c>
      <c r="C35" s="8" t="n">
        <v>40</v>
      </c>
      <c r="D35" s="9" t="inlineStr">
        <is>
          <t>输入</t>
        </is>
      </c>
    </row>
    <row r="36" ht="20" customHeight="1">
      <c r="A36" s="6" t="inlineStr">
        <is>
          <t>CPU 后边距</t>
        </is>
      </c>
      <c r="B36" s="7" t="inlineStr">
        <is>
          <t>rear_m</t>
        </is>
      </c>
      <c r="C36" s="8" t="n">
        <v>38</v>
      </c>
      <c r="D36" s="9" t="inlineStr">
        <is>
          <t>输入</t>
        </is>
      </c>
    </row>
    <row r="37" ht="20" customHeight="1">
      <c r="A37" s="6" t="inlineStr">
        <is>
          <t>内存口带起点</t>
        </is>
      </c>
      <c r="B37" s="7" t="inlineStr">
        <is>
          <t>mem_y0</t>
        </is>
      </c>
      <c r="C37" s="8" t="n">
        <v>19</v>
      </c>
      <c r="D37" s="9" t="inlineStr">
        <is>
          <t>输入</t>
        </is>
      </c>
    </row>
    <row r="38" ht="20" customHeight="1">
      <c r="A38" s="6" t="inlineStr">
        <is>
          <t>内存口带终点</t>
        </is>
      </c>
      <c r="B38" s="7" t="inlineStr">
        <is>
          <t>mem_y1</t>
        </is>
      </c>
      <c r="C38" s="8" t="n">
        <v>101</v>
      </c>
      <c r="D38" s="9" t="inlineStr">
        <is>
          <t>输入</t>
        </is>
      </c>
    </row>
    <row r="39" ht="20" customHeight="1">
      <c r="A39" s="6" t="inlineStr">
        <is>
          <t>内存受热长</t>
        </is>
      </c>
      <c r="B39" s="7" t="inlineStr">
        <is>
          <t>mem_heat</t>
        </is>
      </c>
      <c r="C39" s="8" t="n">
        <v>70</v>
      </c>
      <c r="D39" s="9" t="inlineStr">
        <is>
          <t>输入</t>
        </is>
      </c>
    </row>
    <row r="40" ht="20" customHeight="1">
      <c r="A40" s="6" t="inlineStr">
        <is>
          <t>内存润湿长</t>
        </is>
      </c>
      <c r="B40" s="7" t="inlineStr">
        <is>
          <t>mem_wet</t>
        </is>
      </c>
      <c r="C40" s="8" t="n">
        <v>78</v>
      </c>
      <c r="D40" s="9" t="inlineStr">
        <is>
          <t>输入</t>
        </is>
      </c>
    </row>
    <row r="41" ht="20" customHeight="1">
      <c r="A41" s="6" t="inlineStr">
        <is>
          <t>内存后边距</t>
        </is>
      </c>
      <c r="B41" s="7" t="inlineStr">
        <is>
          <t>mem_margin</t>
        </is>
      </c>
      <c r="C41" s="8" t="n">
        <v>19</v>
      </c>
      <c r="D41" s="9" t="inlineStr">
        <is>
          <t>输入</t>
        </is>
      </c>
    </row>
    <row r="42" ht="20" customHeight="1">
      <c r="A42" s="6" t="inlineStr">
        <is>
          <t>内存槽宽</t>
        </is>
      </c>
      <c r="B42" s="7" t="inlineStr">
        <is>
          <t>mem_ch_w</t>
        </is>
      </c>
      <c r="C42" s="8" t="n">
        <v>1.2</v>
      </c>
      <c r="D42" s="9" t="inlineStr">
        <is>
          <t>输入</t>
        </is>
      </c>
    </row>
    <row r="43" ht="20" customHeight="1">
      <c r="A43" s="6" t="inlineStr">
        <is>
          <t>内存槽深</t>
        </is>
      </c>
      <c r="B43" s="7" t="inlineStr">
        <is>
          <t>mem_ch_h</t>
        </is>
      </c>
      <c r="C43" s="8" t="n">
        <v>0.8</v>
      </c>
      <c r="D43" s="9" t="inlineStr">
        <is>
          <t>输入</t>
        </is>
      </c>
    </row>
    <row r="44" ht="20" customHeight="1">
      <c r="A44" s="6" t="inlineStr">
        <is>
          <t>槽顶铜</t>
        </is>
      </c>
      <c r="B44" s="7" t="inlineStr">
        <is>
          <t>mem_cap</t>
        </is>
      </c>
      <c r="C44" s="8" t="n">
        <v>0.4</v>
      </c>
      <c r="D44" s="9" t="inlineStr">
        <is>
          <t>输入</t>
        </is>
      </c>
    </row>
    <row r="45" ht="20" customHeight="1">
      <c r="A45" s="6" t="inlineStr">
        <is>
          <t>每侧条数</t>
        </is>
      </c>
      <c r="B45" s="7" t="inlineStr">
        <is>
          <t>mem_n</t>
        </is>
      </c>
      <c r="C45" s="8" t="n">
        <v>6</v>
      </c>
      <c r="D45" s="9" t="inlineStr">
        <is>
          <t>输入</t>
        </is>
      </c>
    </row>
    <row r="46" ht="20" customHeight="1">
      <c r="A46" s="6" t="inlineStr">
        <is>
          <t>采用节距 50/6</t>
        </is>
      </c>
      <c r="B46" s="7" t="inlineStr">
        <is>
          <t>pitch</t>
        </is>
      </c>
      <c r="C46" s="8" t="n">
        <v>8.333333333333334</v>
      </c>
      <c r="D46" s="9" t="inlineStr">
        <is>
          <t>输入</t>
        </is>
      </c>
    </row>
    <row r="47" ht="20" customHeight="1">
      <c r="A47" s="6" t="inlineStr">
        <is>
          <t>对照节距</t>
        </is>
      </c>
      <c r="B47" s="7" t="inlineStr">
        <is>
          <t>pitch8</t>
        </is>
      </c>
      <c r="C47" s="8" t="n">
        <v>8</v>
      </c>
      <c r="D47" s="9" t="inlineStr">
        <is>
          <t>输入</t>
        </is>
      </c>
    </row>
    <row r="48" ht="20" customHeight="1">
      <c r="A48" s="6" t="inlineStr">
        <is>
          <t>内存窗宽封闭环</t>
        </is>
      </c>
      <c r="B48" s="7" t="inlineStr">
        <is>
          <t>mem_win</t>
        </is>
      </c>
      <c r="C48" s="8" t="n">
        <v>50</v>
      </c>
      <c r="D48" s="9" t="inlineStr">
        <is>
          <t>输入</t>
        </is>
      </c>
    </row>
    <row r="49" ht="20" customHeight="1">
      <c r="A49" s="6" t="inlineStr">
        <is>
          <t>缝宽</t>
        </is>
      </c>
      <c r="B49" s="7" t="inlineStr">
        <is>
          <t>slit_w</t>
        </is>
      </c>
      <c r="C49" s="8" t="n">
        <v>0.8</v>
      </c>
      <c r="D49" s="9" t="inlineStr">
        <is>
          <t>输入</t>
        </is>
      </c>
    </row>
    <row r="50" ht="20" customHeight="1">
      <c r="A50" s="6" t="inlineStr">
        <is>
          <t>缝高</t>
        </is>
      </c>
      <c r="B50" s="7" t="inlineStr">
        <is>
          <t>slit_h</t>
        </is>
      </c>
      <c r="C50" s="8" t="n">
        <v>1.2</v>
      </c>
      <c r="D50" s="9" t="inlineStr">
        <is>
          <t>输入</t>
        </is>
      </c>
    </row>
    <row r="51" ht="20" customHeight="1">
      <c r="A51" s="6" t="inlineStr">
        <is>
          <t>缝长</t>
        </is>
      </c>
      <c r="B51" s="7" t="inlineStr">
        <is>
          <t>slit_L</t>
        </is>
      </c>
      <c r="C51" s="8" t="n">
        <v>12</v>
      </c>
      <c r="D51" s="9" t="inlineStr">
        <is>
          <t>输入</t>
        </is>
      </c>
    </row>
  </sheetData>
  <autoFilter ref="A3:D51"/>
  <mergeCells count="1">
    <mergeCell ref="A1:D1"/>
  </mergeCells>
  <pageMargins left="0.5" right="0.5" top="0.7" bottom="0.6" header="0.5" footer="0.5"/>
  <pageSetup orientation="landscape" paperSize="9" fitToHeight="0" fitToWidth="1"/>
  <headerFooter>
    <oddHeader>&amp;L输入参数</oddHeader>
    <oddFooter>&amp;CAIDCtms 冷却板  ·  尺寸核实2  ·  2026-09-29&amp;R尺寸核实2  ·  2026-09-29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C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55" customWidth="1" min="3" max="3"/>
  </cols>
  <sheetData>
    <row r="1" ht="24" customHeight="1">
      <c r="A1" s="4" t="inlineStr">
        <is>
          <t>结构布局（与布局说明同一坐标）</t>
        </is>
      </c>
    </row>
    <row r="3" ht="22" customHeight="1">
      <c r="A3" s="10" t="inlineStr">
        <is>
          <t>项目</t>
        </is>
      </c>
      <c r="B3" s="10" t="inlineStr">
        <is>
          <t>坐标或关系</t>
        </is>
      </c>
      <c r="C3" s="10" t="inlineStr">
        <is>
          <t>说明</t>
        </is>
      </c>
    </row>
    <row r="4" ht="32" customHeight="1">
      <c r="A4" s="11" t="inlineStr">
        <is>
          <t>左窗</t>
        </is>
      </c>
      <c r="B4" s="11" t="inlineStr">
        <is>
          <t>X 14–64，Y 25–95</t>
        </is>
      </c>
      <c r="C4" s="11" t="inlineStr">
        <is>
          <t>50×70</t>
        </is>
      </c>
    </row>
    <row r="5" ht="32" customHeight="1">
      <c r="A5" s="11" t="inlineStr">
        <is>
          <t>右窗</t>
        </is>
      </c>
      <c r="B5" s="11" t="inlineStr">
        <is>
          <t>X 136–186，Y 25–95</t>
        </is>
      </c>
      <c r="C5" s="11" t="inlineStr">
        <is>
          <t>同一套槽</t>
        </is>
      </c>
    </row>
    <row r="6" ht="32" customHeight="1">
      <c r="A6" s="11" t="inlineStr">
        <is>
          <t>节距</t>
        </is>
      </c>
      <c r="B6" s="11" t="inlineStr">
        <is>
          <t>8.333 mm</t>
        </is>
      </c>
      <c r="C6" s="11" t="inlineStr">
        <is>
          <t>50/6；8.00 mm 不能铺满</t>
        </is>
      </c>
    </row>
    <row r="7" ht="32" customHeight="1">
      <c r="A7" s="11" t="inlineStr">
        <is>
          <t>厚度</t>
        </is>
      </c>
      <c r="B7" s="11" t="inlineStr">
        <is>
          <t>槽 0.80 + 顶铜 0.40</t>
        </is>
      </c>
      <c r="C7" s="11" t="inlineStr">
        <is>
          <t>与 CPU 在 z=3.2 齐平</t>
        </is>
      </c>
    </row>
    <row r="8" ht="32" customHeight="1">
      <c r="A8" s="11" t="inlineStr">
        <is>
          <t>口带</t>
        </is>
      </c>
      <c r="B8" s="11" t="inlineStr">
        <is>
          <t>Y 19–101</t>
        </is>
      </c>
      <c r="C8" s="11" t="inlineStr">
        <is>
          <t>补两段 1.2 mm 后跨度 82</t>
        </is>
      </c>
    </row>
    <row r="9" ht="32" customHeight="1">
      <c r="A9" s="11" t="inlineStr">
        <is>
          <t>限流缝</t>
        </is>
      </c>
      <c r="B9" s="11" t="inlineStr">
        <is>
          <t>0.80×1.20×12</t>
        </is>
      </c>
      <c r="C9" s="11" t="inlineStr">
        <is>
          <t>平面位置未给</t>
        </is>
      </c>
    </row>
  </sheetData>
  <autoFilter ref="A3:C9"/>
  <mergeCells count="1">
    <mergeCell ref="A1:C1"/>
  </mergeCells>
  <pageMargins left="0.5" right="0.5" top="0.7" bottom="0.6" header="0.5" footer="0.5"/>
  <pageSetup orientation="landscape" paperSize="9" fitToHeight="0" fitToWidth="1"/>
  <headerFooter>
    <oddHeader>&amp;L结构布局</oddHeader>
    <oddFooter>&amp;CAIDCtms 冷却板  ·  尺寸核实2  ·  2026-09-29&amp;R尺寸核实2  ·  2026-09-29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D1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48" customWidth="1" min="4" max="4"/>
  </cols>
  <sheetData>
    <row r="1" ht="24" customHeight="1">
      <c r="A1" s="4" t="inlineStr">
        <is>
          <t>结构尺寸</t>
        </is>
      </c>
    </row>
    <row r="3" ht="22" customHeight="1">
      <c r="A3" s="5" t="inlineStr">
        <is>
          <t>分组</t>
        </is>
      </c>
      <c r="B3" s="5" t="inlineStr">
        <is>
          <t>项目</t>
        </is>
      </c>
      <c r="C3" s="5" t="inlineStr">
        <is>
          <t>尺寸</t>
        </is>
      </c>
      <c r="D3" s="5" t="inlineStr">
        <is>
          <t>说明</t>
        </is>
      </c>
    </row>
    <row r="4" ht="22" customHeight="1">
      <c r="A4" s="11" t="inlineStr">
        <is>
          <t>窗口</t>
        </is>
      </c>
      <c r="B4" s="11" t="inlineStr">
        <is>
          <t>宽</t>
        </is>
      </c>
      <c r="C4" s="12" t="n">
        <v>50</v>
      </c>
      <c r="D4" s="11" t="inlineStr">
        <is>
          <t>左右各一</t>
        </is>
      </c>
    </row>
    <row r="5" ht="22" customHeight="1">
      <c r="A5" s="11" t="inlineStr">
        <is>
          <t>窗口</t>
        </is>
      </c>
      <c r="B5" s="11" t="inlineStr">
        <is>
          <t>受热长</t>
        </is>
      </c>
      <c r="C5" s="12" t="n">
        <v>70</v>
      </c>
      <c r="D5" s="11" t="inlineStr"/>
    </row>
    <row r="6" ht="22" customHeight="1">
      <c r="A6" s="11" t="inlineStr">
        <is>
          <t>槽</t>
        </is>
      </c>
      <c r="B6" s="11" t="inlineStr">
        <is>
          <t>宽</t>
        </is>
      </c>
      <c r="C6" s="12" t="n">
        <v>1.2</v>
      </c>
      <c r="D6" s="11" t="inlineStr"/>
    </row>
    <row r="7" ht="22" customHeight="1">
      <c r="A7" s="11" t="inlineStr">
        <is>
          <t>槽</t>
        </is>
      </c>
      <c r="B7" s="11" t="inlineStr">
        <is>
          <t>深</t>
        </is>
      </c>
      <c r="C7" s="12" t="n">
        <v>0.8</v>
      </c>
      <c r="D7" s="11" t="inlineStr"/>
    </row>
    <row r="8" ht="22" customHeight="1">
      <c r="A8" s="11" t="inlineStr">
        <is>
          <t>槽</t>
        </is>
      </c>
      <c r="B8" s="11" t="inlineStr">
        <is>
          <t>顶铜</t>
        </is>
      </c>
      <c r="C8" s="12" t="n">
        <v>0.4</v>
      </c>
      <c r="D8" s="11" t="inlineStr"/>
    </row>
    <row r="9" ht="22" customHeight="1">
      <c r="A9" s="11" t="inlineStr">
        <is>
          <t>节距</t>
        </is>
      </c>
      <c r="B9" s="11" t="inlineStr">
        <is>
          <t>采用</t>
        </is>
      </c>
      <c r="C9" s="12" t="n">
        <v>8.333333</v>
      </c>
      <c r="D9" s="11" t="inlineStr"/>
    </row>
    <row r="10" ht="22" customHeight="1">
      <c r="A10" s="11" t="inlineStr">
        <is>
          <t>节距</t>
        </is>
      </c>
      <c r="B10" s="11" t="inlineStr">
        <is>
          <t>对照 8 mm 的占位</t>
        </is>
      </c>
      <c r="C10" s="12" t="n">
        <v>48</v>
      </c>
      <c r="D10" s="11" t="inlineStr">
        <is>
          <t>不闭合</t>
        </is>
      </c>
    </row>
    <row r="11" ht="22" customHeight="1">
      <c r="A11" s="11" t="inlineStr">
        <is>
          <t>缝</t>
        </is>
      </c>
      <c r="B11" s="11" t="inlineStr">
        <is>
          <t>长</t>
        </is>
      </c>
      <c r="C11" s="12" t="n">
        <v>12</v>
      </c>
      <c r="D11" s="11" t="inlineStr">
        <is>
          <t>坐标未给</t>
        </is>
      </c>
    </row>
  </sheetData>
  <autoFilter ref="A3:D11"/>
  <mergeCells count="1">
    <mergeCell ref="A1:D1"/>
  </mergeCells>
  <pageMargins left="0.5" right="0.5" top="0.7" bottom="0.6" header="0.5" footer="0.5"/>
  <pageSetup orientation="landscape" paperSize="9" fitToHeight="0" fitToWidth="1"/>
  <headerFooter>
    <oddHeader>&amp;L结构尺寸</oddHeader>
    <oddFooter>&amp;CAIDCtms 冷却板  ·  尺寸核实2  ·  2026-09-29&amp;R尺寸核实2  ·  2026-09-29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G11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2" customWidth="1" min="3" max="3"/>
    <col width="28" customWidth="1" min="4" max="4"/>
    <col width="16" customWidth="1" min="5" max="5"/>
    <col width="10" customWidth="1" min="6" max="6"/>
    <col width="42" customWidth="1" min="7" max="7"/>
  </cols>
  <sheetData>
    <row r="1" ht="24" customHeight="1">
      <c r="A1" s="4" t="inlineStr">
        <is>
          <t>尺寸核实2 · 组成环重新相加</t>
        </is>
      </c>
    </row>
    <row r="2" ht="22" customHeight="1">
      <c r="A2" s="13" t="inlineStr">
        <is>
          <t>蓝字来自输入参数。黑色数字是公式。判定公差 0.001 mm，只用于浮点，不是制图公差。</t>
        </is>
      </c>
    </row>
    <row r="4" ht="22" customHeight="1">
      <c r="A4" s="14" t="inlineStr">
        <is>
          <t>板宽（与 CPU 同一块铜）</t>
        </is>
      </c>
    </row>
    <row r="5">
      <c r="A5" s="15" t="inlineStr">
        <is>
          <t>链</t>
        </is>
      </c>
      <c r="B5" s="15" t="inlineStr">
        <is>
          <t>序号</t>
        </is>
      </c>
      <c r="C5" s="15" t="inlineStr">
        <is>
          <t>组成环</t>
        </is>
      </c>
      <c r="D5" s="15" t="inlineStr">
        <is>
          <t>计算式</t>
        </is>
      </c>
      <c r="E5" s="15" t="inlineStr">
        <is>
          <t>数值 / mm</t>
        </is>
      </c>
      <c r="F5" s="15" t="inlineStr">
        <is>
          <t>采用</t>
        </is>
      </c>
      <c r="G5" s="15" t="inlineStr">
        <is>
          <t>说明</t>
        </is>
      </c>
    </row>
    <row r="6" ht="20" customHeight="1">
      <c r="A6" s="6" t="inlineStr">
        <is>
          <t>外形X</t>
        </is>
      </c>
      <c r="B6" s="9" t="n">
        <v>1</v>
      </c>
      <c r="C6" s="6" t="inlineStr">
        <is>
          <t>左密封边</t>
        </is>
      </c>
      <c r="D6" s="16" t="inlineStr">
        <is>
          <t>seal</t>
        </is>
      </c>
      <c r="E6" s="17">
        <f>seal</f>
        <v/>
      </c>
      <c r="F6" s="9" t="inlineStr">
        <is>
          <t>是</t>
        </is>
      </c>
      <c r="G6" s="6" t="inlineStr">
        <is>
          <t>空腔从 x=6 开始</t>
        </is>
      </c>
    </row>
    <row r="7" ht="20" customHeight="1">
      <c r="A7" s="6" t="inlineStr">
        <is>
          <t>外形X</t>
        </is>
      </c>
      <c r="B7" s="9" t="n">
        <v>2</v>
      </c>
      <c r="C7" s="6" t="inlineStr">
        <is>
          <t>密封边到干管</t>
        </is>
      </c>
      <c r="D7" s="16" t="inlineStr">
        <is>
          <t>to_rail</t>
        </is>
      </c>
      <c r="E7" s="17">
        <f>to_rail</f>
        <v/>
      </c>
      <c r="F7" s="9" t="inlineStr">
        <is>
          <t>是</t>
        </is>
      </c>
      <c r="G7" s="6" t="inlineStr">
        <is>
          <t>6 到 6.5</t>
        </is>
      </c>
    </row>
    <row r="8" ht="20" customHeight="1">
      <c r="A8" s="6" t="inlineStr">
        <is>
          <t>外形X</t>
        </is>
      </c>
      <c r="B8" s="9" t="n">
        <v>3</v>
      </c>
      <c r="C8" s="6" t="inlineStr">
        <is>
          <t>左干管</t>
        </is>
      </c>
      <c r="D8" s="16" t="inlineStr">
        <is>
          <t>rail_w</t>
        </is>
      </c>
      <c r="E8" s="17">
        <f>rail_w</f>
        <v/>
      </c>
      <c r="F8" s="9" t="inlineStr">
        <is>
          <t>是</t>
        </is>
      </c>
      <c r="G8" s="6" t="inlineStr">
        <is>
          <t>6.5–13.5</t>
        </is>
      </c>
    </row>
    <row r="9" ht="20" customHeight="1">
      <c r="A9" s="6" t="inlineStr">
        <is>
          <t>外形X</t>
        </is>
      </c>
      <c r="B9" s="9" t="n">
        <v>4</v>
      </c>
      <c r="C9" s="6" t="inlineStr">
        <is>
          <t>干管到左内存窗</t>
        </is>
      </c>
      <c r="D9" s="16" t="inlineStr">
        <is>
          <t>rail_gap</t>
        </is>
      </c>
      <c r="E9" s="17">
        <f>rail_gap</f>
        <v/>
      </c>
      <c r="F9" s="9" t="inlineStr">
        <is>
          <t>是</t>
        </is>
      </c>
      <c r="G9" s="6" t="inlineStr">
        <is>
          <t>13.5–14</t>
        </is>
      </c>
    </row>
    <row r="10" ht="20" customHeight="1">
      <c r="A10" s="6" t="inlineStr">
        <is>
          <t>外形X</t>
        </is>
      </c>
      <c r="B10" s="9" t="n">
        <v>5</v>
      </c>
      <c r="C10" s="6" t="inlineStr">
        <is>
          <t>左内存窗</t>
        </is>
      </c>
      <c r="D10" s="16" t="inlineStr">
        <is>
          <t>mem_w</t>
        </is>
      </c>
      <c r="E10" s="17">
        <f>mem_w</f>
        <v/>
      </c>
      <c r="F10" s="9" t="inlineStr">
        <is>
          <t>是</t>
        </is>
      </c>
      <c r="G10" s="6" t="inlineStr">
        <is>
          <t>14–64</t>
        </is>
      </c>
    </row>
    <row r="11" ht="20" customHeight="1">
      <c r="A11" s="6" t="inlineStr">
        <is>
          <t>外形X</t>
        </is>
      </c>
      <c r="B11" s="9" t="n">
        <v>6</v>
      </c>
      <c r="C11" s="6" t="inlineStr">
        <is>
          <t>内存到 CPU</t>
        </is>
      </c>
      <c r="D11" s="16" t="inlineStr">
        <is>
          <t>gap_zone</t>
        </is>
      </c>
      <c r="E11" s="17">
        <f>gap_zone</f>
        <v/>
      </c>
      <c r="F11" s="9" t="inlineStr">
        <is>
          <t>是</t>
        </is>
      </c>
      <c r="G11" s="6" t="inlineStr">
        <is>
          <t>64–80</t>
        </is>
      </c>
    </row>
    <row r="12" ht="20" customHeight="1">
      <c r="A12" s="6" t="inlineStr">
        <is>
          <t>外形X</t>
        </is>
      </c>
      <c r="B12" s="9" t="n">
        <v>7</v>
      </c>
      <c r="C12" s="6" t="inlineStr">
        <is>
          <t>CPU 窗</t>
        </is>
      </c>
      <c r="D12" s="16" t="inlineStr">
        <is>
          <t>cpu_w</t>
        </is>
      </c>
      <c r="E12" s="17">
        <f>cpu_w</f>
        <v/>
      </c>
      <c r="F12" s="9" t="inlineStr">
        <is>
          <t>是</t>
        </is>
      </c>
      <c r="G12" s="6" t="inlineStr">
        <is>
          <t>80–120</t>
        </is>
      </c>
    </row>
    <row r="13" ht="20" customHeight="1">
      <c r="A13" s="6" t="inlineStr">
        <is>
          <t>外形X</t>
        </is>
      </c>
      <c r="B13" s="9" t="n">
        <v>8</v>
      </c>
      <c r="C13" s="6" t="inlineStr">
        <is>
          <t>CPU 到右内存</t>
        </is>
      </c>
      <c r="D13" s="16" t="inlineStr">
        <is>
          <t>gap_zone</t>
        </is>
      </c>
      <c r="E13" s="17">
        <f>gap_zone</f>
        <v/>
      </c>
      <c r="F13" s="9" t="inlineStr">
        <is>
          <t>是</t>
        </is>
      </c>
      <c r="G13" s="6" t="inlineStr">
        <is>
          <t>120–136</t>
        </is>
      </c>
    </row>
    <row r="14" ht="20" customHeight="1">
      <c r="A14" s="6" t="inlineStr">
        <is>
          <t>外形X</t>
        </is>
      </c>
      <c r="B14" s="9" t="n">
        <v>9</v>
      </c>
      <c r="C14" s="6" t="inlineStr">
        <is>
          <t>右内存窗</t>
        </is>
      </c>
      <c r="D14" s="16" t="inlineStr">
        <is>
          <t>mem_w</t>
        </is>
      </c>
      <c r="E14" s="17">
        <f>mem_w</f>
        <v/>
      </c>
      <c r="F14" s="9" t="inlineStr">
        <is>
          <t>是</t>
        </is>
      </c>
      <c r="G14" s="6" t="inlineStr">
        <is>
          <t>136–186</t>
        </is>
      </c>
    </row>
    <row r="15" ht="20" customHeight="1">
      <c r="A15" s="6" t="inlineStr">
        <is>
          <t>外形X</t>
        </is>
      </c>
      <c r="B15" s="9" t="n">
        <v>10</v>
      </c>
      <c r="C15" s="6" t="inlineStr">
        <is>
          <t>右内存到干管</t>
        </is>
      </c>
      <c r="D15" s="16" t="inlineStr">
        <is>
          <t>rail_gap</t>
        </is>
      </c>
      <c r="E15" s="17">
        <f>rail_gap</f>
        <v/>
      </c>
      <c r="F15" s="9" t="inlineStr">
        <is>
          <t>是</t>
        </is>
      </c>
      <c r="G15" s="6" t="inlineStr">
        <is>
          <t>186–186.5</t>
        </is>
      </c>
    </row>
    <row r="16" ht="20" customHeight="1">
      <c r="A16" s="6" t="inlineStr">
        <is>
          <t>外形X</t>
        </is>
      </c>
      <c r="B16" s="9" t="n">
        <v>11</v>
      </c>
      <c r="C16" s="6" t="inlineStr">
        <is>
          <t>右干管</t>
        </is>
      </c>
      <c r="D16" s="16" t="inlineStr">
        <is>
          <t>rail_w</t>
        </is>
      </c>
      <c r="E16" s="17">
        <f>rail_w</f>
        <v/>
      </c>
      <c r="F16" s="9" t="inlineStr">
        <is>
          <t>是</t>
        </is>
      </c>
      <c r="G16" s="6" t="inlineStr">
        <is>
          <t>186.5–193.5</t>
        </is>
      </c>
    </row>
    <row r="17" ht="20" customHeight="1">
      <c r="A17" s="6" t="inlineStr">
        <is>
          <t>外形X</t>
        </is>
      </c>
      <c r="B17" s="9" t="n">
        <v>12</v>
      </c>
      <c r="C17" s="6" t="inlineStr">
        <is>
          <t>干管到密封边</t>
        </is>
      </c>
      <c r="D17" s="16" t="inlineStr">
        <is>
          <t>to_rail</t>
        </is>
      </c>
      <c r="E17" s="17">
        <f>to_rail</f>
        <v/>
      </c>
      <c r="F17" s="9" t="inlineStr">
        <is>
          <t>是</t>
        </is>
      </c>
      <c r="G17" s="6" t="inlineStr">
        <is>
          <t>193.5–194</t>
        </is>
      </c>
    </row>
    <row r="18" ht="20" customHeight="1">
      <c r="A18" s="6" t="inlineStr">
        <is>
          <t>外形X</t>
        </is>
      </c>
      <c r="B18" s="9" t="n">
        <v>13</v>
      </c>
      <c r="C18" s="6" t="inlineStr">
        <is>
          <t>右密封边</t>
        </is>
      </c>
      <c r="D18" s="16" t="inlineStr">
        <is>
          <t>seal</t>
        </is>
      </c>
      <c r="E18" s="17">
        <f>seal</f>
        <v/>
      </c>
      <c r="F18" s="9" t="inlineStr">
        <is>
          <t>是</t>
        </is>
      </c>
      <c r="G18" s="6" t="inlineStr">
        <is>
          <t>194–200</t>
        </is>
      </c>
    </row>
    <row r="19">
      <c r="A19" s="18" t="n"/>
      <c r="B19" s="18" t="n"/>
      <c r="C19" s="19" t="inlineStr">
        <is>
          <t>组成环之和</t>
        </is>
      </c>
      <c r="D19" s="18" t="n"/>
      <c r="E19" s="20">
        <f>SUM(E6:E18)</f>
        <v/>
      </c>
      <c r="F19" s="18" t="n"/>
      <c r="G19" s="18" t="n"/>
    </row>
    <row r="20">
      <c r="A20" s="21" t="n"/>
      <c r="B20" s="21" t="n"/>
      <c r="C20" s="22" t="inlineStr">
        <is>
          <t>封闭环</t>
        </is>
      </c>
      <c r="D20" s="21" t="n"/>
      <c r="E20" s="23">
        <f>plate_L</f>
        <v/>
      </c>
      <c r="F20" s="21" t="n"/>
      <c r="G20" s="21" t="n"/>
    </row>
    <row r="21">
      <c r="A21" s="21" t="n"/>
      <c r="B21" s="21" t="n"/>
      <c r="C21" s="24" t="inlineStr">
        <is>
          <t>差值（和 − 封闭环）</t>
        </is>
      </c>
      <c r="D21" s="21" t="n"/>
      <c r="E21" s="25">
        <f>E19-E20</f>
        <v/>
      </c>
      <c r="F21" s="21" t="n"/>
      <c r="G21" s="21" t="n"/>
    </row>
    <row r="22" ht="22" customHeight="1">
      <c r="A22" s="21" t="n"/>
      <c r="B22" s="21" t="n"/>
      <c r="C22" s="22" t="inlineStr">
        <is>
          <t>判定</t>
        </is>
      </c>
      <c r="D22" s="21" t="n"/>
      <c r="E22" s="26">
        <f>IF(ABS(E19-E20)&lt;0.001,"闭合","不闭合")</f>
        <v/>
      </c>
      <c r="F22" s="21" t="n"/>
      <c r="G22" s="21" t="n"/>
    </row>
    <row r="24" ht="22" customHeight="1">
      <c r="A24" s="14" t="inlineStr">
        <is>
          <t>内存槽接到分型面</t>
        </is>
      </c>
    </row>
    <row r="25">
      <c r="A25" s="15" t="inlineStr">
        <is>
          <t>链</t>
        </is>
      </c>
      <c r="B25" s="15" t="inlineStr">
        <is>
          <t>序号</t>
        </is>
      </c>
      <c r="C25" s="15" t="inlineStr">
        <is>
          <t>组成环</t>
        </is>
      </c>
      <c r="D25" s="15" t="inlineStr">
        <is>
          <t>计算式</t>
        </is>
      </c>
      <c r="E25" s="15" t="inlineStr">
        <is>
          <t>数值 / mm</t>
        </is>
      </c>
      <c r="F25" s="15" t="inlineStr">
        <is>
          <t>采用</t>
        </is>
      </c>
      <c r="G25" s="15" t="inlineStr">
        <is>
          <t>说明</t>
        </is>
      </c>
    </row>
    <row r="26" ht="20" customHeight="1">
      <c r="A26" s="6" t="inlineStr">
        <is>
          <t>厚度对齐</t>
        </is>
      </c>
      <c r="B26" s="9" t="n">
        <v>1</v>
      </c>
      <c r="C26" s="6" t="inlineStr">
        <is>
          <t>底板</t>
        </is>
      </c>
      <c r="D26" s="16" t="inlineStr">
        <is>
          <t>base</t>
        </is>
      </c>
      <c r="E26" s="17">
        <f>base</f>
        <v/>
      </c>
      <c r="F26" s="9" t="inlineStr">
        <is>
          <t>是</t>
        </is>
      </c>
      <c r="G26" s="6" t="inlineStr"/>
    </row>
    <row r="27" ht="20" customHeight="1">
      <c r="A27" s="6" t="inlineStr">
        <is>
          <t>厚度对齐</t>
        </is>
      </c>
      <c r="B27" s="9" t="n">
        <v>2</v>
      </c>
      <c r="C27" s="6" t="inlineStr">
        <is>
          <t>内存槽深</t>
        </is>
      </c>
      <c r="D27" s="16" t="inlineStr">
        <is>
          <t>mem_ch_h</t>
        </is>
      </c>
      <c r="E27" s="17">
        <f>mem_ch_h</f>
        <v/>
      </c>
      <c r="F27" s="9" t="inlineStr">
        <is>
          <t>是</t>
        </is>
      </c>
      <c r="G27" s="6" t="inlineStr">
        <is>
          <t>只铣 0.80</t>
        </is>
      </c>
    </row>
    <row r="28" ht="20" customHeight="1">
      <c r="A28" s="6" t="inlineStr">
        <is>
          <t>厚度对齐</t>
        </is>
      </c>
      <c r="B28" s="9" t="n">
        <v>3</v>
      </c>
      <c r="C28" s="6" t="inlineStr">
        <is>
          <t>槽顶铜</t>
        </is>
      </c>
      <c r="D28" s="16" t="inlineStr">
        <is>
          <t>mem_cap</t>
        </is>
      </c>
      <c r="E28" s="17">
        <f>mem_cap</f>
        <v/>
      </c>
      <c r="F28" s="9" t="inlineStr">
        <is>
          <t>是</t>
        </is>
      </c>
      <c r="G28" s="6" t="inlineStr">
        <is>
          <t>0.40，补到 z=3.2</t>
        </is>
      </c>
    </row>
    <row r="29">
      <c r="A29" s="18" t="n"/>
      <c r="B29" s="18" t="n"/>
      <c r="C29" s="19" t="inlineStr">
        <is>
          <t>组成环之和</t>
        </is>
      </c>
      <c r="D29" s="18" t="n"/>
      <c r="E29" s="20">
        <f>SUM(E26:E28)</f>
        <v/>
      </c>
      <c r="F29" s="18" t="n"/>
      <c r="G29" s="18" t="n"/>
    </row>
    <row r="30">
      <c r="A30" s="21" t="n"/>
      <c r="B30" s="21" t="n"/>
      <c r="C30" s="22" t="inlineStr">
        <is>
          <t>封闭环</t>
        </is>
      </c>
      <c r="D30" s="21" t="n"/>
      <c r="E30" s="23">
        <f>z_part</f>
        <v/>
      </c>
      <c r="F30" s="21" t="n"/>
      <c r="G30" s="21" t="n"/>
    </row>
    <row r="31">
      <c r="A31" s="21" t="n"/>
      <c r="B31" s="21" t="n"/>
      <c r="C31" s="24" t="inlineStr">
        <is>
          <t>差值（和 − 封闭环）</t>
        </is>
      </c>
      <c r="D31" s="21" t="n"/>
      <c r="E31" s="25">
        <f>E29-E30</f>
        <v/>
      </c>
      <c r="F31" s="21" t="n"/>
      <c r="G31" s="21" t="n"/>
    </row>
    <row r="32" ht="22" customHeight="1">
      <c r="A32" s="21" t="n"/>
      <c r="B32" s="21" t="n"/>
      <c r="C32" s="22" t="inlineStr">
        <is>
          <t>判定</t>
        </is>
      </c>
      <c r="D32" s="21" t="n"/>
      <c r="E32" s="26">
        <f>IF(ABS(E29-E30)&lt;0.001,"闭合","不闭合")</f>
        <v/>
      </c>
      <c r="F32" s="21" t="n"/>
      <c r="G32" s="21" t="n"/>
    </row>
    <row r="34" ht="22" customHeight="1">
      <c r="A34" s="14" t="inlineStr">
        <is>
          <t>CPU 槽接到同一分型面</t>
        </is>
      </c>
    </row>
    <row r="35">
      <c r="A35" s="15" t="inlineStr">
        <is>
          <t>链</t>
        </is>
      </c>
      <c r="B35" s="15" t="inlineStr">
        <is>
          <t>序号</t>
        </is>
      </c>
      <c r="C35" s="15" t="inlineStr">
        <is>
          <t>组成环</t>
        </is>
      </c>
      <c r="D35" s="15" t="inlineStr">
        <is>
          <t>计算式</t>
        </is>
      </c>
      <c r="E35" s="15" t="inlineStr">
        <is>
          <t>数值 / mm</t>
        </is>
      </c>
      <c r="F35" s="15" t="inlineStr">
        <is>
          <t>采用</t>
        </is>
      </c>
      <c r="G35" s="15" t="inlineStr">
        <is>
          <t>说明</t>
        </is>
      </c>
    </row>
    <row r="36" ht="20" customHeight="1">
      <c r="A36" s="6" t="inlineStr">
        <is>
          <t>CPU对照厚</t>
        </is>
      </c>
      <c r="B36" s="9" t="n">
        <v>1</v>
      </c>
      <c r="C36" s="6" t="inlineStr">
        <is>
          <t>底板</t>
        </is>
      </c>
      <c r="D36" s="16" t="inlineStr">
        <is>
          <t>base</t>
        </is>
      </c>
      <c r="E36" s="17">
        <f>base</f>
        <v/>
      </c>
      <c r="F36" s="9" t="inlineStr">
        <is>
          <t>是</t>
        </is>
      </c>
      <c r="G36" s="6" t="inlineStr"/>
    </row>
    <row r="37" ht="20" customHeight="1">
      <c r="A37" s="6" t="inlineStr">
        <is>
          <t>CPU对照厚</t>
        </is>
      </c>
      <c r="B37" s="9" t="n">
        <v>2</v>
      </c>
      <c r="C37" s="6" t="inlineStr">
        <is>
          <t>CPU 槽深</t>
        </is>
      </c>
      <c r="D37" s="16" t="inlineStr">
        <is>
          <t>cpu_h</t>
        </is>
      </c>
      <c r="E37" s="17">
        <f>cpu_h</f>
        <v/>
      </c>
      <c r="F37" s="9" t="inlineStr">
        <is>
          <t>是</t>
        </is>
      </c>
      <c r="G37" s="6" t="inlineStr"/>
    </row>
    <row r="38">
      <c r="A38" s="18" t="n"/>
      <c r="B38" s="18" t="n"/>
      <c r="C38" s="19" t="inlineStr">
        <is>
          <t>组成环之和</t>
        </is>
      </c>
      <c r="D38" s="18" t="n"/>
      <c r="E38" s="20">
        <f>SUM(E36:E37)</f>
        <v/>
      </c>
      <c r="F38" s="18" t="n"/>
      <c r="G38" s="18" t="n"/>
    </row>
    <row r="39">
      <c r="A39" s="21" t="n"/>
      <c r="B39" s="21" t="n"/>
      <c r="C39" s="22" t="inlineStr">
        <is>
          <t>封闭环</t>
        </is>
      </c>
      <c r="D39" s="21" t="n"/>
      <c r="E39" s="23">
        <f>z_part</f>
        <v/>
      </c>
      <c r="F39" s="21" t="n"/>
      <c r="G39" s="21" t="n"/>
    </row>
    <row r="40">
      <c r="A40" s="21" t="n"/>
      <c r="B40" s="21" t="n"/>
      <c r="C40" s="24" t="inlineStr">
        <is>
          <t>差值（和 − 封闭环）</t>
        </is>
      </c>
      <c r="D40" s="21" t="n"/>
      <c r="E40" s="25">
        <f>E38-E39</f>
        <v/>
      </c>
      <c r="F40" s="21" t="n"/>
      <c r="G40" s="21" t="n"/>
    </row>
    <row r="41" ht="22" customHeight="1">
      <c r="A41" s="21" t="n"/>
      <c r="B41" s="21" t="n"/>
      <c r="C41" s="22" t="inlineStr">
        <is>
          <t>判定</t>
        </is>
      </c>
      <c r="D41" s="21" t="n"/>
      <c r="E41" s="26">
        <f>IF(ABS(E38-E39)&lt;0.001,"闭合","不闭合")</f>
        <v/>
      </c>
      <c r="F41" s="21" t="n"/>
      <c r="G41" s="21" t="n"/>
    </row>
    <row r="43" ht="22" customHeight="1">
      <c r="A43" s="14" t="inlineStr">
        <is>
          <t>分型面以上加到外形</t>
        </is>
      </c>
    </row>
    <row r="44">
      <c r="A44" s="15" t="inlineStr">
        <is>
          <t>链</t>
        </is>
      </c>
      <c r="B44" s="15" t="inlineStr">
        <is>
          <t>序号</t>
        </is>
      </c>
      <c r="C44" s="15" t="inlineStr">
        <is>
          <t>组成环</t>
        </is>
      </c>
      <c r="D44" s="15" t="inlineStr">
        <is>
          <t>计算式</t>
        </is>
      </c>
      <c r="E44" s="15" t="inlineStr">
        <is>
          <t>数值 / mm</t>
        </is>
      </c>
      <c r="F44" s="15" t="inlineStr">
        <is>
          <t>采用</t>
        </is>
      </c>
      <c r="G44" s="15" t="inlineStr">
        <is>
          <t>说明</t>
        </is>
      </c>
    </row>
    <row r="45" ht="20" customHeight="1">
      <c r="A45" s="6" t="inlineStr">
        <is>
          <t>整板厚</t>
        </is>
      </c>
      <c r="B45" s="9" t="n">
        <v>1</v>
      </c>
      <c r="C45" s="6" t="inlineStr">
        <is>
          <t>分型面高度</t>
        </is>
      </c>
      <c r="D45" s="16" t="inlineStr">
        <is>
          <t>z_part</t>
        </is>
      </c>
      <c r="E45" s="17">
        <f>z_part</f>
        <v/>
      </c>
      <c r="F45" s="9" t="inlineStr">
        <is>
          <t>是</t>
        </is>
      </c>
      <c r="G45" s="6" t="inlineStr"/>
    </row>
    <row r="46" ht="20" customHeight="1">
      <c r="A46" s="6" t="inlineStr">
        <is>
          <t>整板厚</t>
        </is>
      </c>
      <c r="B46" s="9" t="n">
        <v>2</v>
      </c>
      <c r="C46" s="6" t="inlineStr">
        <is>
          <t>分型密封</t>
        </is>
      </c>
      <c r="D46" s="16" t="inlineStr">
        <is>
          <t>z_seal</t>
        </is>
      </c>
      <c r="E46" s="17">
        <f>z_seal</f>
        <v/>
      </c>
      <c r="F46" s="9" t="inlineStr">
        <is>
          <t>是</t>
        </is>
      </c>
      <c r="G46" s="6" t="inlineStr"/>
    </row>
    <row r="47" ht="20" customHeight="1">
      <c r="A47" s="6" t="inlineStr">
        <is>
          <t>整板厚</t>
        </is>
      </c>
      <c r="B47" s="9" t="n">
        <v>3</v>
      </c>
      <c r="C47" s="6" t="inlineStr">
        <is>
          <t>内腔</t>
        </is>
      </c>
      <c r="D47" s="16" t="inlineStr">
        <is>
          <t>z_cav</t>
        </is>
      </c>
      <c r="E47" s="17">
        <f>z_cav</f>
        <v/>
      </c>
      <c r="F47" s="9" t="inlineStr">
        <is>
          <t>是</t>
        </is>
      </c>
      <c r="G47" s="6" t="inlineStr"/>
    </row>
    <row r="48" ht="20" customHeight="1">
      <c r="A48" s="6" t="inlineStr">
        <is>
          <t>整板厚</t>
        </is>
      </c>
      <c r="B48" s="9" t="n">
        <v>4</v>
      </c>
      <c r="C48" s="6" t="inlineStr">
        <is>
          <t>盖顶</t>
        </is>
      </c>
      <c r="D48" s="16" t="inlineStr">
        <is>
          <t>z_lid</t>
        </is>
      </c>
      <c r="E48" s="17">
        <f>z_lid</f>
        <v/>
      </c>
      <c r="F48" s="9" t="inlineStr">
        <is>
          <t>是</t>
        </is>
      </c>
      <c r="G48" s="6" t="inlineStr"/>
    </row>
    <row r="49">
      <c r="A49" s="18" t="n"/>
      <c r="B49" s="18" t="n"/>
      <c r="C49" s="19" t="inlineStr">
        <is>
          <t>组成环之和</t>
        </is>
      </c>
      <c r="D49" s="18" t="n"/>
      <c r="E49" s="20">
        <f>SUM(E45:E48)</f>
        <v/>
      </c>
      <c r="F49" s="18" t="n"/>
      <c r="G49" s="18" t="n"/>
    </row>
    <row r="50">
      <c r="A50" s="21" t="n"/>
      <c r="B50" s="21" t="n"/>
      <c r="C50" s="22" t="inlineStr">
        <is>
          <t>封闭环</t>
        </is>
      </c>
      <c r="D50" s="21" t="n"/>
      <c r="E50" s="23">
        <f>plate_T</f>
        <v/>
      </c>
      <c r="F50" s="21" t="n"/>
      <c r="G50" s="21" t="n"/>
    </row>
    <row r="51">
      <c r="A51" s="21" t="n"/>
      <c r="B51" s="21" t="n"/>
      <c r="C51" s="24" t="inlineStr">
        <is>
          <t>差值（和 − 封闭环）</t>
        </is>
      </c>
      <c r="D51" s="21" t="n"/>
      <c r="E51" s="25">
        <f>E49-E50</f>
        <v/>
      </c>
      <c r="F51" s="21" t="n"/>
      <c r="G51" s="21" t="n"/>
    </row>
    <row r="52" ht="22" customHeight="1">
      <c r="A52" s="21" t="n"/>
      <c r="B52" s="21" t="n"/>
      <c r="C52" s="22" t="inlineStr">
        <is>
          <t>判定</t>
        </is>
      </c>
      <c r="D52" s="21" t="n"/>
      <c r="E52" s="26">
        <f>IF(ABS(E49-E50)&lt;0.001,"闭合","不闭合")</f>
        <v/>
      </c>
      <c r="F52" s="21" t="n"/>
      <c r="G52" s="21" t="n"/>
    </row>
    <row r="54" ht="22" customHeight="1">
      <c r="A54" s="14" t="inlineStr">
        <is>
          <t>左窗（右窗同宽）按均分节距</t>
        </is>
      </c>
    </row>
    <row r="55">
      <c r="A55" s="15" t="inlineStr">
        <is>
          <t>链</t>
        </is>
      </c>
      <c r="B55" s="15" t="inlineStr">
        <is>
          <t>序号</t>
        </is>
      </c>
      <c r="C55" s="15" t="inlineStr">
        <is>
          <t>组成环</t>
        </is>
      </c>
      <c r="D55" s="15" t="inlineStr">
        <is>
          <t>计算式</t>
        </is>
      </c>
      <c r="E55" s="15" t="inlineStr">
        <is>
          <t>数值 / mm</t>
        </is>
      </c>
      <c r="F55" s="15" t="inlineStr">
        <is>
          <t>采用</t>
        </is>
      </c>
      <c r="G55" s="15" t="inlineStr">
        <is>
          <t>说明</t>
        </is>
      </c>
    </row>
    <row r="56" ht="20" customHeight="1">
      <c r="A56" s="6" t="inlineStr">
        <is>
          <t>节距采用</t>
        </is>
      </c>
      <c r="B56" s="9" t="n">
        <v>1</v>
      </c>
      <c r="C56" s="6" t="inlineStr">
        <is>
          <t>左岸，半肋</t>
        </is>
      </c>
      <c r="D56" s="16" t="inlineStr">
        <is>
          <t>(pitch-mem_ch_w)/2</t>
        </is>
      </c>
      <c r="E56" s="17">
        <f>(pitch-mem_ch_w)/2</f>
        <v/>
      </c>
      <c r="F56" s="9" t="inlineStr">
        <is>
          <t>是</t>
        </is>
      </c>
      <c r="G56" s="6" t="inlineStr">
        <is>
          <t>节距取 50/6</t>
        </is>
      </c>
    </row>
    <row r="57" ht="20" customHeight="1">
      <c r="A57" s="6" t="inlineStr">
        <is>
          <t>节距采用</t>
        </is>
      </c>
      <c r="B57" s="9" t="n">
        <v>2</v>
      </c>
      <c r="C57" s="6" t="inlineStr">
        <is>
          <t>6 条槽</t>
        </is>
      </c>
      <c r="D57" s="16" t="inlineStr">
        <is>
          <t>mem_n*mem_ch_w</t>
        </is>
      </c>
      <c r="E57" s="17">
        <f>mem_n*mem_ch_w</f>
        <v/>
      </c>
      <c r="F57" s="9" t="inlineStr">
        <is>
          <t>是</t>
        </is>
      </c>
      <c r="G57" s="6" t="inlineStr">
        <is>
          <t>宽 1.20</t>
        </is>
      </c>
    </row>
    <row r="58" ht="20" customHeight="1">
      <c r="A58" s="6" t="inlineStr">
        <is>
          <t>节距采用</t>
        </is>
      </c>
      <c r="B58" s="9" t="n">
        <v>3</v>
      </c>
      <c r="C58" s="6" t="inlineStr">
        <is>
          <t>5 条肋</t>
        </is>
      </c>
      <c r="D58" s="16" t="inlineStr">
        <is>
          <t>(mem_n-1)*(pitch-mem_ch_w)</t>
        </is>
      </c>
      <c r="E58" s="17">
        <f>(mem_n-1)*(pitch-mem_ch_w)</f>
        <v/>
      </c>
      <c r="F58" s="9" t="inlineStr">
        <is>
          <t>是</t>
        </is>
      </c>
      <c r="G58" s="6" t="inlineStr"/>
    </row>
    <row r="59" ht="20" customHeight="1">
      <c r="A59" s="6" t="inlineStr">
        <is>
          <t>节距采用</t>
        </is>
      </c>
      <c r="B59" s="9" t="n">
        <v>4</v>
      </c>
      <c r="C59" s="6" t="inlineStr">
        <is>
          <t>右岸，半肋</t>
        </is>
      </c>
      <c r="D59" s="16" t="inlineStr">
        <is>
          <t>(pitch-mem_ch_w)/2</t>
        </is>
      </c>
      <c r="E59" s="17">
        <f>(pitch-mem_ch_w)/2</f>
        <v/>
      </c>
      <c r="F59" s="9" t="inlineStr">
        <is>
          <t>是</t>
        </is>
      </c>
      <c r="G59" s="6" t="inlineStr"/>
    </row>
    <row r="60">
      <c r="A60" s="18" t="n"/>
      <c r="B60" s="18" t="n"/>
      <c r="C60" s="19" t="inlineStr">
        <is>
          <t>组成环之和</t>
        </is>
      </c>
      <c r="D60" s="18" t="n"/>
      <c r="E60" s="20">
        <f>SUM(E56:E59)</f>
        <v/>
      </c>
      <c r="F60" s="18" t="n"/>
      <c r="G60" s="18" t="n"/>
    </row>
    <row r="61">
      <c r="A61" s="21" t="n"/>
      <c r="B61" s="21" t="n"/>
      <c r="C61" s="22" t="inlineStr">
        <is>
          <t>封闭环</t>
        </is>
      </c>
      <c r="D61" s="21" t="n"/>
      <c r="E61" s="23">
        <f>mem_win</f>
        <v/>
      </c>
      <c r="F61" s="21" t="n"/>
      <c r="G61" s="21" t="n"/>
    </row>
    <row r="62">
      <c r="A62" s="21" t="n"/>
      <c r="B62" s="21" t="n"/>
      <c r="C62" s="24" t="inlineStr">
        <is>
          <t>差值（和 − 封闭环）</t>
        </is>
      </c>
      <c r="D62" s="21" t="n"/>
      <c r="E62" s="25">
        <f>E60-E61</f>
        <v/>
      </c>
      <c r="F62" s="21" t="n"/>
      <c r="G62" s="21" t="n"/>
    </row>
    <row r="63" ht="22" customHeight="1">
      <c r="A63" s="21" t="n"/>
      <c r="B63" s="21" t="n"/>
      <c r="C63" s="22" t="inlineStr">
        <is>
          <t>判定</t>
        </is>
      </c>
      <c r="D63" s="21" t="n"/>
      <c r="E63" s="26">
        <f>IF(ABS(E60-E61)&lt;0.001,"闭合","不闭合")</f>
        <v/>
      </c>
      <c r="F63" s="21" t="n"/>
      <c r="G63" s="21" t="n"/>
    </row>
    <row r="65" ht="22" customHeight="1">
      <c r="A65" s="14" t="inlineStr">
        <is>
          <t>若节距按 8.00 mm、岸仍取半肋</t>
        </is>
      </c>
    </row>
    <row r="66">
      <c r="A66" s="15" t="inlineStr">
        <is>
          <t>链</t>
        </is>
      </c>
      <c r="B66" s="15" t="inlineStr">
        <is>
          <t>序号</t>
        </is>
      </c>
      <c r="C66" s="15" t="inlineStr">
        <is>
          <t>组成环</t>
        </is>
      </c>
      <c r="D66" s="15" t="inlineStr">
        <is>
          <t>计算式</t>
        </is>
      </c>
      <c r="E66" s="15" t="inlineStr">
        <is>
          <t>数值 / mm</t>
        </is>
      </c>
      <c r="F66" s="15" t="inlineStr">
        <is>
          <t>采用</t>
        </is>
      </c>
      <c r="G66" s="15" t="inlineStr">
        <is>
          <t>说明</t>
        </is>
      </c>
    </row>
    <row r="67" ht="20" customHeight="1">
      <c r="A67" s="6" t="inlineStr">
        <is>
          <t>节距8</t>
        </is>
      </c>
      <c r="B67" s="9" t="n">
        <v>1</v>
      </c>
      <c r="C67" s="6" t="inlineStr">
        <is>
          <t>左岸</t>
        </is>
      </c>
      <c r="D67" s="16" t="inlineStr">
        <is>
          <t>(pitch8-mem_ch_w)/2</t>
        </is>
      </c>
      <c r="E67" s="17">
        <f>(pitch8-mem_ch_w)/2</f>
        <v/>
      </c>
      <c r="F67" s="27" t="inlineStr">
        <is>
          <t>否</t>
        </is>
      </c>
      <c r="G67" s="6" t="inlineStr"/>
    </row>
    <row r="68" ht="20" customHeight="1">
      <c r="A68" s="6" t="inlineStr">
        <is>
          <t>节距8</t>
        </is>
      </c>
      <c r="B68" s="9" t="n">
        <v>2</v>
      </c>
      <c r="C68" s="6" t="inlineStr">
        <is>
          <t>6 条槽</t>
        </is>
      </c>
      <c r="D68" s="16" t="inlineStr">
        <is>
          <t>mem_n*mem_ch_w</t>
        </is>
      </c>
      <c r="E68" s="17">
        <f>mem_n*mem_ch_w</f>
        <v/>
      </c>
      <c r="F68" s="27" t="inlineStr">
        <is>
          <t>否</t>
        </is>
      </c>
      <c r="G68" s="6" t="inlineStr"/>
    </row>
    <row r="69" ht="20" customHeight="1">
      <c r="A69" s="6" t="inlineStr">
        <is>
          <t>节距8</t>
        </is>
      </c>
      <c r="B69" s="9" t="n">
        <v>3</v>
      </c>
      <c r="C69" s="6" t="inlineStr">
        <is>
          <t>5 条肋</t>
        </is>
      </c>
      <c r="D69" s="16" t="inlineStr">
        <is>
          <t>(mem_n-1)*(pitch8-mem_ch_w)</t>
        </is>
      </c>
      <c r="E69" s="17">
        <f>(mem_n-1)*(pitch8-mem_ch_w)</f>
        <v/>
      </c>
      <c r="F69" s="27" t="inlineStr">
        <is>
          <t>否</t>
        </is>
      </c>
      <c r="G69" s="6" t="inlineStr"/>
    </row>
    <row r="70" ht="20" customHeight="1">
      <c r="A70" s="6" t="inlineStr">
        <is>
          <t>节距8</t>
        </is>
      </c>
      <c r="B70" s="9" t="n">
        <v>4</v>
      </c>
      <c r="C70" s="6" t="inlineStr">
        <is>
          <t>右岸</t>
        </is>
      </c>
      <c r="D70" s="16" t="inlineStr">
        <is>
          <t>(pitch8-mem_ch_w)/2</t>
        </is>
      </c>
      <c r="E70" s="17">
        <f>(pitch8-mem_ch_w)/2</f>
        <v/>
      </c>
      <c r="F70" s="27" t="inlineStr">
        <is>
          <t>否</t>
        </is>
      </c>
      <c r="G70" s="6" t="inlineStr"/>
    </row>
    <row r="71">
      <c r="A71" s="18" t="n"/>
      <c r="B71" s="18" t="n"/>
      <c r="C71" s="19" t="inlineStr">
        <is>
          <t>组成环之和</t>
        </is>
      </c>
      <c r="D71" s="18" t="n"/>
      <c r="E71" s="20">
        <f>SUM(E67:E70)</f>
        <v/>
      </c>
      <c r="F71" s="18" t="n"/>
      <c r="G71" s="18" t="n"/>
    </row>
    <row r="72">
      <c r="A72" s="21" t="n"/>
      <c r="B72" s="21" t="n"/>
      <c r="C72" s="22" t="inlineStr">
        <is>
          <t>封闭环</t>
        </is>
      </c>
      <c r="D72" s="21" t="n"/>
      <c r="E72" s="23">
        <f>mem_win</f>
        <v/>
      </c>
      <c r="F72" s="21" t="n"/>
      <c r="G72" s="21" t="n"/>
    </row>
    <row r="73">
      <c r="A73" s="21" t="n"/>
      <c r="B73" s="21" t="n"/>
      <c r="C73" s="24" t="inlineStr">
        <is>
          <t>差值（和 − 封闭环）</t>
        </is>
      </c>
      <c r="D73" s="21" t="n"/>
      <c r="E73" s="25">
        <f>E71-E72</f>
        <v/>
      </c>
      <c r="F73" s="21" t="n"/>
      <c r="G73" s="21" t="n"/>
    </row>
    <row r="74" ht="22" customHeight="1">
      <c r="A74" s="21" t="n"/>
      <c r="B74" s="21" t="n"/>
      <c r="C74" s="22" t="inlineStr">
        <is>
          <t>判定</t>
        </is>
      </c>
      <c r="D74" s="21" t="n"/>
      <c r="E74" s="26">
        <f>IF(ABS(E71-E72)&lt;0.001,"闭合","不闭合")</f>
        <v/>
      </c>
      <c r="F74" s="21" t="n"/>
      <c r="G74" s="21" t="n"/>
    </row>
    <row r="76" ht="22" customHeight="1">
      <c r="A76" s="14" t="inlineStr">
        <is>
          <t>单侧内存口带，补上两段 1.2 mm</t>
        </is>
      </c>
    </row>
    <row r="77">
      <c r="A77" s="15" t="inlineStr">
        <is>
          <t>链</t>
        </is>
      </c>
      <c r="B77" s="15" t="inlineStr">
        <is>
          <t>序号</t>
        </is>
      </c>
      <c r="C77" s="15" t="inlineStr">
        <is>
          <t>组成环</t>
        </is>
      </c>
      <c r="D77" s="15" t="inlineStr">
        <is>
          <t>计算式</t>
        </is>
      </c>
      <c r="E77" s="15" t="inlineStr">
        <is>
          <t>数值 / mm</t>
        </is>
      </c>
      <c r="F77" s="15" t="inlineStr">
        <is>
          <t>采用</t>
        </is>
      </c>
      <c r="G77" s="15" t="inlineStr">
        <is>
          <t>说明</t>
        </is>
      </c>
    </row>
    <row r="78" ht="20" customHeight="1">
      <c r="A78" s="6" t="inlineStr">
        <is>
          <t>Y口带</t>
        </is>
      </c>
      <c r="B78" s="9" t="n">
        <v>1</v>
      </c>
      <c r="C78" s="6" t="inlineStr">
        <is>
          <t>前端墙</t>
        </is>
      </c>
      <c r="D78" s="16" t="inlineStr">
        <is>
          <t>wall</t>
        </is>
      </c>
      <c r="E78" s="17">
        <f>wall</f>
        <v/>
      </c>
      <c r="F78" s="9" t="inlineStr">
        <is>
          <t>是</t>
        </is>
      </c>
      <c r="G78" s="6" t="inlineStr">
        <is>
          <t>0.8</t>
        </is>
      </c>
    </row>
    <row r="79" ht="20" customHeight="1">
      <c r="A79" s="6" t="inlineStr">
        <is>
          <t>Y口带</t>
        </is>
      </c>
      <c r="B79" s="9" t="n">
        <v>2</v>
      </c>
      <c r="C79" s="6" t="inlineStr">
        <is>
          <t>前侧回液口</t>
        </is>
      </c>
      <c r="D79" s="16" t="inlineStr">
        <is>
          <t>port</t>
        </is>
      </c>
      <c r="E79" s="17">
        <f>port</f>
        <v/>
      </c>
      <c r="F79" s="9" t="inlineStr">
        <is>
          <t>是</t>
        </is>
      </c>
      <c r="G79" s="6" t="inlineStr">
        <is>
          <t>1.6，偶数槽</t>
        </is>
      </c>
    </row>
    <row r="80" ht="20" customHeight="1">
      <c r="A80" s="6" t="inlineStr">
        <is>
          <t>Y口带</t>
        </is>
      </c>
      <c r="B80" s="9" t="n">
        <v>3</v>
      </c>
      <c r="C80" s="6" t="inlineStr">
        <is>
          <t>隔墙</t>
        </is>
      </c>
      <c r="D80" s="16" t="inlineStr">
        <is>
          <t>wall</t>
        </is>
      </c>
      <c r="E80" s="17">
        <f>wall</f>
        <v/>
      </c>
      <c r="F80" s="9" t="inlineStr">
        <is>
          <t>是</t>
        </is>
      </c>
      <c r="G80" s="6" t="inlineStr">
        <is>
          <t>0.8</t>
        </is>
      </c>
    </row>
    <row r="81" ht="20" customHeight="1">
      <c r="A81" s="6" t="inlineStr">
        <is>
          <t>Y口带</t>
        </is>
      </c>
      <c r="B81" s="9" t="n">
        <v>4</v>
      </c>
      <c r="C81" s="6" t="inlineStr">
        <is>
          <t>前侧供液口</t>
        </is>
      </c>
      <c r="D81" s="16" t="inlineStr">
        <is>
          <t>port</t>
        </is>
      </c>
      <c r="E81" s="17">
        <f>port</f>
        <v/>
      </c>
      <c r="F81" s="9" t="inlineStr">
        <is>
          <t>是</t>
        </is>
      </c>
      <c r="G81" s="6" t="inlineStr">
        <is>
          <t>1.6，奇数槽</t>
        </is>
      </c>
    </row>
    <row r="82" ht="20" customHeight="1">
      <c r="A82" s="6" t="inlineStr">
        <is>
          <t>Y口带</t>
        </is>
      </c>
      <c r="B82" s="9" t="n">
        <v>5</v>
      </c>
      <c r="C82" s="6" t="inlineStr">
        <is>
          <t>口与窗口间的实铜</t>
        </is>
      </c>
      <c r="D82" s="16" t="inlineStr">
        <is>
          <t>neck</t>
        </is>
      </c>
      <c r="E82" s="17">
        <f>neck</f>
        <v/>
      </c>
      <c r="F82" s="9" t="inlineStr">
        <is>
          <t>是</t>
        </is>
      </c>
      <c r="G82" s="6" t="inlineStr">
        <is>
          <t>坐标相减 1.2，原表未单独命名</t>
        </is>
      </c>
    </row>
    <row r="83" ht="20" customHeight="1">
      <c r="A83" s="6" t="inlineStr">
        <is>
          <t>Y口带</t>
        </is>
      </c>
      <c r="B83" s="9" t="n">
        <v>6</v>
      </c>
      <c r="C83" s="6" t="inlineStr">
        <is>
          <t>受热窗</t>
        </is>
      </c>
      <c r="D83" s="16" t="inlineStr">
        <is>
          <t>mem_heat</t>
        </is>
      </c>
      <c r="E83" s="17">
        <f>mem_heat</f>
        <v/>
      </c>
      <c r="F83" s="9" t="inlineStr">
        <is>
          <t>是</t>
        </is>
      </c>
      <c r="G83" s="6" t="inlineStr"/>
    </row>
    <row r="84" ht="20" customHeight="1">
      <c r="A84" s="6" t="inlineStr">
        <is>
          <t>Y口带</t>
        </is>
      </c>
      <c r="B84" s="9" t="n">
        <v>7</v>
      </c>
      <c r="C84" s="6" t="inlineStr">
        <is>
          <t>口与窗口间的实铜</t>
        </is>
      </c>
      <c r="D84" s="16" t="inlineStr">
        <is>
          <t>neck</t>
        </is>
      </c>
      <c r="E84" s="17">
        <f>neck</f>
        <v/>
      </c>
      <c r="F84" s="9" t="inlineStr">
        <is>
          <t>是</t>
        </is>
      </c>
      <c r="G84" s="6" t="inlineStr">
        <is>
          <t>后侧同样 1.2</t>
        </is>
      </c>
    </row>
    <row r="85" ht="20" customHeight="1">
      <c r="A85" s="6" t="inlineStr">
        <is>
          <t>Y口带</t>
        </is>
      </c>
      <c r="B85" s="9" t="n">
        <v>8</v>
      </c>
      <c r="C85" s="6" t="inlineStr">
        <is>
          <t>后侧供液口</t>
        </is>
      </c>
      <c r="D85" s="16" t="inlineStr">
        <is>
          <t>port</t>
        </is>
      </c>
      <c r="E85" s="17">
        <f>port</f>
        <v/>
      </c>
      <c r="F85" s="9" t="inlineStr">
        <is>
          <t>是</t>
        </is>
      </c>
      <c r="G85" s="6" t="inlineStr">
        <is>
          <t>1.6，偶数槽入口</t>
        </is>
      </c>
    </row>
    <row r="86" ht="20" customHeight="1">
      <c r="A86" s="6" t="inlineStr">
        <is>
          <t>Y口带</t>
        </is>
      </c>
      <c r="B86" s="9" t="n">
        <v>9</v>
      </c>
      <c r="C86" s="6" t="inlineStr">
        <is>
          <t>隔墙</t>
        </is>
      </c>
      <c r="D86" s="16" t="inlineStr">
        <is>
          <t>wall</t>
        </is>
      </c>
      <c r="E86" s="17">
        <f>wall</f>
        <v/>
      </c>
      <c r="F86" s="9" t="inlineStr">
        <is>
          <t>是</t>
        </is>
      </c>
      <c r="G86" s="6" t="inlineStr">
        <is>
          <t>0.8</t>
        </is>
      </c>
    </row>
    <row r="87" ht="20" customHeight="1">
      <c r="A87" s="6" t="inlineStr">
        <is>
          <t>Y口带</t>
        </is>
      </c>
      <c r="B87" s="9" t="n">
        <v>10</v>
      </c>
      <c r="C87" s="6" t="inlineStr">
        <is>
          <t>后侧回液口</t>
        </is>
      </c>
      <c r="D87" s="16" t="inlineStr">
        <is>
          <t>port</t>
        </is>
      </c>
      <c r="E87" s="17">
        <f>port</f>
        <v/>
      </c>
      <c r="F87" s="9" t="inlineStr">
        <is>
          <t>是</t>
        </is>
      </c>
      <c r="G87" s="6" t="inlineStr">
        <is>
          <t>1.6，奇数槽出口</t>
        </is>
      </c>
    </row>
    <row r="88" ht="20" customHeight="1">
      <c r="A88" s="6" t="inlineStr">
        <is>
          <t>Y口带</t>
        </is>
      </c>
      <c r="B88" s="9" t="n">
        <v>11</v>
      </c>
      <c r="C88" s="6" t="inlineStr">
        <is>
          <t>后端墙</t>
        </is>
      </c>
      <c r="D88" s="16" t="inlineStr">
        <is>
          <t>wall</t>
        </is>
      </c>
      <c r="E88" s="17">
        <f>wall</f>
        <v/>
      </c>
      <c r="F88" s="9" t="inlineStr">
        <is>
          <t>是</t>
        </is>
      </c>
      <c r="G88" s="6" t="inlineStr">
        <is>
          <t>0.8</t>
        </is>
      </c>
    </row>
    <row r="89">
      <c r="A89" s="18" t="n"/>
      <c r="B89" s="18" t="n"/>
      <c r="C89" s="19" t="inlineStr">
        <is>
          <t>组成环之和</t>
        </is>
      </c>
      <c r="D89" s="18" t="n"/>
      <c r="E89" s="20">
        <f>SUM(E78:E88)</f>
        <v/>
      </c>
      <c r="F89" s="18" t="n"/>
      <c r="G89" s="18" t="n"/>
    </row>
    <row r="90">
      <c r="A90" s="21" t="n"/>
      <c r="B90" s="21" t="n"/>
      <c r="C90" s="22" t="inlineStr">
        <is>
          <t>封闭环</t>
        </is>
      </c>
      <c r="D90" s="21" t="n"/>
      <c r="E90" s="23">
        <f>mem_y1-mem_y0</f>
        <v/>
      </c>
      <c r="F90" s="21" t="n"/>
      <c r="G90" s="21" t="n"/>
    </row>
    <row r="91">
      <c r="A91" s="21" t="n"/>
      <c r="B91" s="21" t="n"/>
      <c r="C91" s="24" t="inlineStr">
        <is>
          <t>差值（和 − 封闭环）</t>
        </is>
      </c>
      <c r="D91" s="21" t="n"/>
      <c r="E91" s="25">
        <f>E89-E90</f>
        <v/>
      </c>
      <c r="F91" s="21" t="n"/>
      <c r="G91" s="21" t="n"/>
    </row>
    <row r="92" ht="22" customHeight="1">
      <c r="A92" s="21" t="n"/>
      <c r="B92" s="21" t="n"/>
      <c r="C92" s="22" t="inlineStr">
        <is>
          <t>判定</t>
        </is>
      </c>
      <c r="D92" s="21" t="n"/>
      <c r="E92" s="26">
        <f>IF(ABS(E89-E90)&lt;0.001,"闭合","不闭合")</f>
        <v/>
      </c>
      <c r="F92" s="21" t="n"/>
      <c r="G92" s="21" t="n"/>
    </row>
    <row r="94" ht="22" customHeight="1">
      <c r="A94" s="14" t="inlineStr">
        <is>
          <t>内存口带加前后边距</t>
        </is>
      </c>
    </row>
    <row r="95">
      <c r="A95" s="15" t="inlineStr">
        <is>
          <t>链</t>
        </is>
      </c>
      <c r="B95" s="15" t="inlineStr">
        <is>
          <t>序号</t>
        </is>
      </c>
      <c r="C95" s="15" t="inlineStr">
        <is>
          <t>组成环</t>
        </is>
      </c>
      <c r="D95" s="15" t="inlineStr">
        <is>
          <t>计算式</t>
        </is>
      </c>
      <c r="E95" s="15" t="inlineStr">
        <is>
          <t>数值 / mm</t>
        </is>
      </c>
      <c r="F95" s="15" t="inlineStr">
        <is>
          <t>采用</t>
        </is>
      </c>
      <c r="G95" s="15" t="inlineStr">
        <is>
          <t>说明</t>
        </is>
      </c>
    </row>
    <row r="96" ht="20" customHeight="1">
      <c r="A96" s="6" t="inlineStr">
        <is>
          <t>Y全长</t>
        </is>
      </c>
      <c r="B96" s="9" t="n">
        <v>1</v>
      </c>
      <c r="C96" s="6" t="inlineStr">
        <is>
          <t>前边距</t>
        </is>
      </c>
      <c r="D96" s="16" t="inlineStr">
        <is>
          <t>mem_y0</t>
        </is>
      </c>
      <c r="E96" s="17">
        <f>mem_y0</f>
        <v/>
      </c>
      <c r="F96" s="9" t="inlineStr">
        <is>
          <t>是</t>
        </is>
      </c>
      <c r="G96" s="6" t="inlineStr">
        <is>
          <t>前端墙起于 19</t>
        </is>
      </c>
    </row>
    <row r="97" ht="20" customHeight="1">
      <c r="A97" s="6" t="inlineStr">
        <is>
          <t>Y全长</t>
        </is>
      </c>
      <c r="B97" s="9" t="n">
        <v>2</v>
      </c>
      <c r="C97" s="6" t="inlineStr">
        <is>
          <t>口带跨度</t>
        </is>
      </c>
      <c r="D97" s="16" t="inlineStr">
        <is>
          <t>mem_y1-mem_y0</t>
        </is>
      </c>
      <c r="E97" s="17">
        <f>mem_y1-mem_y0</f>
        <v/>
      </c>
      <c r="F97" s="9" t="inlineStr">
        <is>
          <t>是</t>
        </is>
      </c>
      <c r="G97" s="6" t="inlineStr">
        <is>
          <t>82</t>
        </is>
      </c>
    </row>
    <row r="98" ht="20" customHeight="1">
      <c r="A98" s="6" t="inlineStr">
        <is>
          <t>Y全长</t>
        </is>
      </c>
      <c r="B98" s="9" t="n">
        <v>3</v>
      </c>
      <c r="C98" s="6" t="inlineStr">
        <is>
          <t>后边距</t>
        </is>
      </c>
      <c r="D98" s="16" t="inlineStr">
        <is>
          <t>mem_margin</t>
        </is>
      </c>
      <c r="E98" s="17">
        <f>mem_margin</f>
        <v/>
      </c>
      <c r="F98" s="9" t="inlineStr">
        <is>
          <t>是</t>
        </is>
      </c>
      <c r="G98" s="6" t="inlineStr">
        <is>
          <t>101 到 120</t>
        </is>
      </c>
    </row>
    <row r="99">
      <c r="A99" s="18" t="n"/>
      <c r="B99" s="18" t="n"/>
      <c r="C99" s="19" t="inlineStr">
        <is>
          <t>组成环之和</t>
        </is>
      </c>
      <c r="D99" s="18" t="n"/>
      <c r="E99" s="20">
        <f>SUM(E96:E98)</f>
        <v/>
      </c>
      <c r="F99" s="18" t="n"/>
      <c r="G99" s="18" t="n"/>
    </row>
    <row r="100">
      <c r="A100" s="21" t="n"/>
      <c r="B100" s="21" t="n"/>
      <c r="C100" s="22" t="inlineStr">
        <is>
          <t>封闭环</t>
        </is>
      </c>
      <c r="D100" s="21" t="n"/>
      <c r="E100" s="23">
        <f>plate_W</f>
        <v/>
      </c>
      <c r="F100" s="21" t="n"/>
      <c r="G100" s="21" t="n"/>
    </row>
    <row r="101">
      <c r="A101" s="21" t="n"/>
      <c r="B101" s="21" t="n"/>
      <c r="C101" s="24" t="inlineStr">
        <is>
          <t>差值（和 − 封闭环）</t>
        </is>
      </c>
      <c r="D101" s="21" t="n"/>
      <c r="E101" s="25">
        <f>E99-E100</f>
        <v/>
      </c>
      <c r="F101" s="21" t="n"/>
      <c r="G101" s="21" t="n"/>
    </row>
    <row r="102" ht="22" customHeight="1">
      <c r="A102" s="21" t="n"/>
      <c r="B102" s="21" t="n"/>
      <c r="C102" s="22" t="inlineStr">
        <is>
          <t>判定</t>
        </is>
      </c>
      <c r="D102" s="21" t="n"/>
      <c r="E102" s="26">
        <f>IF(ABS(E99-E100)&lt;0.001,"闭合","不闭合")</f>
        <v/>
      </c>
      <c r="F102" s="21" t="n"/>
      <c r="G102" s="21" t="n"/>
    </row>
    <row r="104" ht="22" customHeight="1">
      <c r="A104" s="14" t="inlineStr">
        <is>
          <t>单侧奇数槽润湿长度</t>
        </is>
      </c>
    </row>
    <row r="105">
      <c r="A105" s="15" t="inlineStr">
        <is>
          <t>链</t>
        </is>
      </c>
      <c r="B105" s="15" t="inlineStr">
        <is>
          <t>序号</t>
        </is>
      </c>
      <c r="C105" s="15" t="inlineStr">
        <is>
          <t>组成环</t>
        </is>
      </c>
      <c r="D105" s="15" t="inlineStr">
        <is>
          <t>计算式</t>
        </is>
      </c>
      <c r="E105" s="15" t="inlineStr">
        <is>
          <t>数值 / mm</t>
        </is>
      </c>
      <c r="F105" s="15" t="inlineStr">
        <is>
          <t>采用</t>
        </is>
      </c>
      <c r="G105" s="15" t="inlineStr">
        <is>
          <t>说明</t>
        </is>
      </c>
    </row>
    <row r="106" ht="20" customHeight="1">
      <c r="A106" s="6" t="inlineStr">
        <is>
          <t>润湿</t>
        </is>
      </c>
      <c r="B106" s="9" t="n">
        <v>1</v>
      </c>
      <c r="C106" s="6" t="inlineStr">
        <is>
          <t>前供液口</t>
        </is>
      </c>
      <c r="D106" s="16" t="inlineStr">
        <is>
          <t>port</t>
        </is>
      </c>
      <c r="E106" s="17">
        <f>port</f>
        <v/>
      </c>
      <c r="F106" s="9" t="inlineStr">
        <is>
          <t>是</t>
        </is>
      </c>
      <c r="G106" s="6" t="inlineStr">
        <is>
          <t>22.2 起</t>
        </is>
      </c>
    </row>
    <row r="107" ht="20" customHeight="1">
      <c r="A107" s="6" t="inlineStr">
        <is>
          <t>润湿</t>
        </is>
      </c>
      <c r="B107" s="9" t="n">
        <v>2</v>
      </c>
      <c r="C107" s="6" t="inlineStr">
        <is>
          <t>前实铜</t>
        </is>
      </c>
      <c r="D107" s="16" t="inlineStr">
        <is>
          <t>neck</t>
        </is>
      </c>
      <c r="E107" s="17">
        <f>neck</f>
        <v/>
      </c>
      <c r="F107" s="9" t="inlineStr">
        <is>
          <t>是</t>
        </is>
      </c>
      <c r="G107" s="6" t="inlineStr"/>
    </row>
    <row r="108" ht="20" customHeight="1">
      <c r="A108" s="6" t="inlineStr">
        <is>
          <t>润湿</t>
        </is>
      </c>
      <c r="B108" s="9" t="n">
        <v>3</v>
      </c>
      <c r="C108" s="6" t="inlineStr">
        <is>
          <t>受热 70</t>
        </is>
      </c>
      <c r="D108" s="16" t="inlineStr">
        <is>
          <t>mem_heat</t>
        </is>
      </c>
      <c r="E108" s="17">
        <f>mem_heat</f>
        <v/>
      </c>
      <c r="F108" s="9" t="inlineStr">
        <is>
          <t>是</t>
        </is>
      </c>
      <c r="G108" s="6" t="inlineStr"/>
    </row>
    <row r="109" ht="20" customHeight="1">
      <c r="A109" s="6" t="inlineStr">
        <is>
          <t>润湿</t>
        </is>
      </c>
      <c r="B109" s="9" t="n">
        <v>4</v>
      </c>
      <c r="C109" s="6" t="inlineStr">
        <is>
          <t>后实铜</t>
        </is>
      </c>
      <c r="D109" s="16" t="inlineStr">
        <is>
          <t>neck</t>
        </is>
      </c>
      <c r="E109" s="17">
        <f>neck</f>
        <v/>
      </c>
      <c r="F109" s="9" t="inlineStr">
        <is>
          <t>是</t>
        </is>
      </c>
      <c r="G109" s="6" t="inlineStr"/>
    </row>
    <row r="110" ht="20" customHeight="1">
      <c r="A110" s="6" t="inlineStr">
        <is>
          <t>润湿</t>
        </is>
      </c>
      <c r="B110" s="9" t="n">
        <v>5</v>
      </c>
      <c r="C110" s="6" t="inlineStr">
        <is>
          <t>后侧供液口区</t>
        </is>
      </c>
      <c r="D110" s="16" t="inlineStr">
        <is>
          <t>port</t>
        </is>
      </c>
      <c r="E110" s="17">
        <f>port</f>
        <v/>
      </c>
      <c r="F110" s="9" t="inlineStr">
        <is>
          <t>是</t>
        </is>
      </c>
      <c r="G110" s="6" t="inlineStr"/>
    </row>
    <row r="111" ht="20" customHeight="1">
      <c r="A111" s="6" t="inlineStr">
        <is>
          <t>润湿</t>
        </is>
      </c>
      <c r="B111" s="9" t="n">
        <v>6</v>
      </c>
      <c r="C111" s="6" t="inlineStr">
        <is>
          <t>隔墙</t>
        </is>
      </c>
      <c r="D111" s="16" t="inlineStr">
        <is>
          <t>wall</t>
        </is>
      </c>
      <c r="E111" s="17">
        <f>wall</f>
        <v/>
      </c>
      <c r="F111" s="9" t="inlineStr">
        <is>
          <t>是</t>
        </is>
      </c>
      <c r="G111" s="6" t="inlineStr"/>
    </row>
    <row r="112" ht="20" customHeight="1">
      <c r="A112" s="6" t="inlineStr">
        <is>
          <t>润湿</t>
        </is>
      </c>
      <c r="B112" s="9" t="n">
        <v>7</v>
      </c>
      <c r="C112" s="6" t="inlineStr">
        <is>
          <t>后回液口</t>
        </is>
      </c>
      <c r="D112" s="16" t="inlineStr">
        <is>
          <t>port</t>
        </is>
      </c>
      <c r="E112" s="17">
        <f>port</f>
        <v/>
      </c>
      <c r="F112" s="9" t="inlineStr">
        <is>
          <t>是</t>
        </is>
      </c>
      <c r="G112" s="6" t="inlineStr">
        <is>
          <t>到 100.2</t>
        </is>
      </c>
    </row>
    <row r="113">
      <c r="A113" s="18" t="n"/>
      <c r="B113" s="18" t="n"/>
      <c r="C113" s="19" t="inlineStr">
        <is>
          <t>组成环之和</t>
        </is>
      </c>
      <c r="D113" s="18" t="n"/>
      <c r="E113" s="20">
        <f>SUM(E106:E112)</f>
        <v/>
      </c>
      <c r="F113" s="18" t="n"/>
      <c r="G113" s="18" t="n"/>
    </row>
    <row r="114">
      <c r="A114" s="21" t="n"/>
      <c r="B114" s="21" t="n"/>
      <c r="C114" s="22" t="inlineStr">
        <is>
          <t>封闭环</t>
        </is>
      </c>
      <c r="D114" s="21" t="n"/>
      <c r="E114" s="23">
        <f>mem_wet</f>
        <v/>
      </c>
      <c r="F114" s="21" t="n"/>
      <c r="G114" s="21" t="n"/>
    </row>
    <row r="115">
      <c r="A115" s="21" t="n"/>
      <c r="B115" s="21" t="n"/>
      <c r="C115" s="24" t="inlineStr">
        <is>
          <t>差值（和 − 封闭环）</t>
        </is>
      </c>
      <c r="D115" s="21" t="n"/>
      <c r="E115" s="25">
        <f>E113-E114</f>
        <v/>
      </c>
      <c r="F115" s="21" t="n"/>
      <c r="G115" s="21" t="n"/>
    </row>
    <row r="116" ht="22" customHeight="1">
      <c r="A116" s="21" t="n"/>
      <c r="B116" s="21" t="n"/>
      <c r="C116" s="22" t="inlineStr">
        <is>
          <t>判定</t>
        </is>
      </c>
      <c r="D116" s="21" t="n"/>
      <c r="E116" s="26">
        <f>IF(ABS(E113-E114)&lt;0.001,"闭合","不闭合")</f>
        <v/>
      </c>
      <c r="F116" s="21" t="n"/>
      <c r="G116" s="21" t="n"/>
    </row>
  </sheetData>
  <mergeCells count="11">
    <mergeCell ref="A1:G1"/>
    <mergeCell ref="A94:G94"/>
    <mergeCell ref="A34:G34"/>
    <mergeCell ref="A4:G4"/>
    <mergeCell ref="A24:G24"/>
    <mergeCell ref="A2:G2"/>
    <mergeCell ref="A54:G54"/>
    <mergeCell ref="A104:G104"/>
    <mergeCell ref="A65:G65"/>
    <mergeCell ref="A43:G43"/>
    <mergeCell ref="A76:G76"/>
  </mergeCells>
  <conditionalFormatting sqref="E22">
    <cfRule type="expression" priority="1" dxfId="0">
      <formula>E22="闭合"</formula>
    </cfRule>
    <cfRule type="expression" priority="2" dxfId="1">
      <formula>E22="不闭合"</formula>
    </cfRule>
  </conditionalFormatting>
  <conditionalFormatting sqref="E32">
    <cfRule type="expression" priority="3" dxfId="0">
      <formula>E32="闭合"</formula>
    </cfRule>
    <cfRule type="expression" priority="4" dxfId="1">
      <formula>E32="不闭合"</formula>
    </cfRule>
  </conditionalFormatting>
  <conditionalFormatting sqref="E41">
    <cfRule type="expression" priority="5" dxfId="0">
      <formula>E41="闭合"</formula>
    </cfRule>
    <cfRule type="expression" priority="6" dxfId="1">
      <formula>E41="不闭合"</formula>
    </cfRule>
  </conditionalFormatting>
  <conditionalFormatting sqref="E52">
    <cfRule type="expression" priority="7" dxfId="0">
      <formula>E52="闭合"</formula>
    </cfRule>
    <cfRule type="expression" priority="8" dxfId="1">
      <formula>E52="不闭合"</formula>
    </cfRule>
  </conditionalFormatting>
  <conditionalFormatting sqref="E63">
    <cfRule type="expression" priority="9" dxfId="0">
      <formula>E63="闭合"</formula>
    </cfRule>
    <cfRule type="expression" priority="10" dxfId="1">
      <formula>E63="不闭合"</formula>
    </cfRule>
  </conditionalFormatting>
  <conditionalFormatting sqref="E74">
    <cfRule type="expression" priority="11" dxfId="0">
      <formula>E74="闭合"</formula>
    </cfRule>
    <cfRule type="expression" priority="12" dxfId="1">
      <formula>E74="不闭合"</formula>
    </cfRule>
  </conditionalFormatting>
  <conditionalFormatting sqref="E92">
    <cfRule type="expression" priority="13" dxfId="0">
      <formula>E92="闭合"</formula>
    </cfRule>
    <cfRule type="expression" priority="14" dxfId="1">
      <formula>E92="不闭合"</formula>
    </cfRule>
  </conditionalFormatting>
  <conditionalFormatting sqref="E102">
    <cfRule type="expression" priority="15" dxfId="0">
      <formula>E102="闭合"</formula>
    </cfRule>
    <cfRule type="expression" priority="16" dxfId="1">
      <formula>E102="不闭合"</formula>
    </cfRule>
  </conditionalFormatting>
  <conditionalFormatting sqref="E116">
    <cfRule type="expression" priority="17" dxfId="0">
      <formula>E116="闭合"</formula>
    </cfRule>
    <cfRule type="expression" priority="18" dxfId="1">
      <formula>E116="不闭合"</formula>
    </cfRule>
  </conditionalFormatting>
  <pageMargins left="0.5" right="0.5" top="0.7" bottom="0.6" header="0.5" footer="0.5"/>
  <pageSetup orientation="landscape" paperSize="9" fitToHeight="0" fitToWidth="1"/>
  <headerFooter>
    <oddHeader>&amp;L尺寸核实2</oddHeader>
    <oddFooter>&amp;CAIDCtms 冷却板  ·  尺寸核实2  ·  2026-09-29&amp;R尺寸核实2  ·  2026-09-29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2026-09-29T00:08:20Z</dcterms:created>
  <dcterms:modified xmlns:dcterms="http://purl.org/dc/terms/" xmlns:xsi="http://www.w3.org/2001/XMLSchema-instance" xsi:type="dcterms:W3CDTF">2026-09-29T00:08:20Z</dcterms:modified>
</cp:coreProperties>
</file>