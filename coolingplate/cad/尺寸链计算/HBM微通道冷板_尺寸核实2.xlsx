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输入参数" sheetId="2" state="visible" r:id="rId2"/>
    <sheet xmlns:r="http://schemas.openxmlformats.org/officeDocument/2006/relationships" name="结构布局" sheetId="3" state="visible" r:id="rId3"/>
    <sheet xmlns:r="http://schemas.openxmlformats.org/officeDocument/2006/relationships" name="结构尺寸" sheetId="4" state="visible" r:id="rId4"/>
    <sheet xmlns:r="http://schemas.openxmlformats.org/officeDocument/2006/relationships" name="尺寸核实2" sheetId="5" state="visible" r:id="rId5"/>
  </sheets>
  <definedNames>
    <definedName name="col_w">'输入参数'!$C$4</definedName>
    <definedName name="ch_w">'输入参数'!$C$5</definedName>
    <definedName name="ch_h">'输入参数'!$C$6</definedName>
    <definedName name="fin_w">'输入参数'!$C$7</definedName>
    <definedName name="n_ch">'输入参数'!$C$8</definedName>
    <definedName name="land">'输入参数'!$C$9</definedName>
    <definedName name="col_len">'输入参数'!$C$10</definedName>
    <definedName name="stack_h">'输入参数'!$C$11</definedName>
    <definedName name="gap_stack">'输入参数'!$C$12</definedName>
    <definedName name="n_stack">'输入参数'!$C$13</definedName>
    <definedName name="heat_len">'输入参数'!$C$14</definedName>
    <definedName name="base">'输入参数'!$C$15</definedName>
    <definedName name="lid">'输入参数'!$C$16</definedName>
    <definedName name="plate_hbm">'输入参数'!$C$17</definedName>
    <definedName name="tim">'输入参数'!$C$18</definedName>
    <definedName name="land65">'输入参数'!$C$19</definedName>
    <definedName name="ch60">'输入参数'!$C$20</definedName>
    <definedName name="fin70">'输入参数'!$C$21</definedName>
    <definedName name="n8">'输入参数'!$C$22</definedName>
    <definedName name="plate_L">'输入参数'!$C$23</definedName>
    <definedName name="plate_W">'输入参数'!$C$24</definedName>
    <definedName name="margin_x">'输入参数'!$C$25</definedName>
    <definedName name="gap_rib">'输入参数'!$C$26</definedName>
    <definedName name="rib_w">'输入参数'!$C$27</definedName>
    <definedName name="die_w">'输入参数'!$C$28</definedName>
    <definedName name="hbi">'输入参数'!$C$29</definedName>
    <definedName name="y_end">'输入参数'!$C$30</definedName>
    <definedName name="hbm_xr">'输入参数'!$C$31</definedName>
    <definedName name="die_ax">'输入参数'!$C$32</definedName>
    <definedName name="_xlnm.Print_Titles" localSheetId="0">'封面'!$1:$1</definedName>
    <definedName name="_xlnm._FilterDatabase" localSheetId="1" hidden="1">'输入参数'!$A$3:$D$32</definedName>
    <definedName name="_xlnm.Print_Titles" localSheetId="1">'输入参数'!$1:$3</definedName>
    <definedName name="_xlnm._FilterDatabase" localSheetId="2" hidden="1">'结构布局'!$A$3:$C$10</definedName>
    <definedName name="_xlnm.Print_Titles" localSheetId="2">'结构布局'!$1:$3</definedName>
    <definedName name="_xlnm._FilterDatabase" localSheetId="3" hidden="1">'结构尺寸'!$A$3:$D$21</definedName>
    <definedName name="_xlnm.Print_Titles" localSheetId="3">'结构尺寸'!$1:$3</definedName>
    <definedName name="_xlnm.Print_Titles" localSheetId="4">'尺寸核实2'!$1:$2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8">
    <font>
      <name val="Calibri"/>
      <family val="2"/>
      <color theme="1"/>
      <sz val="11"/>
      <scheme val="minor"/>
    </font>
    <font>
      <name val="微软雅黑"/>
      <b val="1"/>
      <color rgb="000E3A5D"/>
      <sz val="20"/>
    </font>
    <font>
      <name val="微软雅黑"/>
      <b val="1"/>
      <sz val="11"/>
    </font>
    <font>
      <name val="微软雅黑"/>
      <sz val="11"/>
    </font>
    <font>
      <name val="微软雅黑"/>
      <b val="1"/>
      <color rgb="000E3A5D"/>
      <sz val="16"/>
    </font>
    <font>
      <name val="微软雅黑"/>
      <b val="1"/>
      <color rgb="00FFFFFF"/>
      <sz val="11"/>
    </font>
    <font>
      <name val="Consolas"/>
      <sz val="10"/>
    </font>
    <font>
      <name val="微软雅黑"/>
      <color rgb="000B3A66"/>
      <sz val="11"/>
    </font>
  </fonts>
  <fills count="6">
    <fill>
      <patternFill/>
    </fill>
    <fill>
      <patternFill patternType="gray125"/>
    </fill>
    <fill>
      <patternFill patternType="solid">
        <fgColor rgb="000E3A5D"/>
      </patternFill>
    </fill>
    <fill>
      <patternFill patternType="solid">
        <fgColor rgb="00D6E6F5"/>
      </patternFill>
    </fill>
    <fill>
      <patternFill patternType="solid">
        <fgColor rgb="00EEF3F8"/>
      </patternFill>
    </fill>
    <fill>
      <patternFill patternType="solid">
        <fgColor rgb="00F8E8C8"/>
      </patternFill>
    </fill>
  </fills>
  <borders count="2">
    <border>
      <left/>
      <right/>
      <top/>
      <bottom/>
      <diagonal/>
    </border>
    <border>
      <left style="thin">
        <color rgb="00D5DDE6"/>
      </left>
      <right style="thin">
        <color rgb="00D5DDE6"/>
      </right>
      <top style="thin">
        <color rgb="00D5DDE6"/>
      </top>
      <bottom style="thin">
        <color rgb="00D5DDE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2" borderId="0" pivotButton="0" quotePrefix="0" xfId="0"/>
    <xf numFmtId="0" fontId="2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165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center"/>
    </xf>
    <xf numFmtId="0" fontId="3" fillId="0" borderId="1" pivotButton="0" quotePrefix="0" xfId="0"/>
    <xf numFmtId="165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6" customHeight="1">
      <c r="A1" s="1" t="inlineStr">
        <is>
          <t>HBM 微通道冷板</t>
        </is>
      </c>
    </row>
    <row r="3" ht="32" customHeight="1">
      <c r="A3" s="2" t="inlineStr">
        <is>
          <t>文件</t>
        </is>
      </c>
      <c r="B3" s="3" t="inlineStr">
        <is>
          <t>DC-HBM-VER2</t>
        </is>
      </c>
    </row>
    <row r="4" ht="32" customHeight="1">
      <c r="A4" s="2" t="inlineStr">
        <is>
          <t>日期</t>
        </is>
      </c>
      <c r="B4" s="3" t="inlineStr">
        <is>
          <t>2026-09-29</t>
        </is>
      </c>
    </row>
    <row r="5" ht="32" customHeight="1">
      <c r="A5" s="2" t="inlineStr">
        <is>
          <t>核实内容</t>
        </is>
      </c>
      <c r="B5" s="3" t="inlineStr">
        <is>
          <t>结构布局坐标、结构尺寸、名义尺寸链</t>
        </is>
      </c>
    </row>
    <row r="6" ht="32" customHeight="1">
      <c r="A6" s="2" t="inlineStr">
        <is>
          <t>输入</t>
        </is>
      </c>
      <c r="B6" s="3" t="inlineStr">
        <is>
          <t>工作表「输入参数」中的蓝字。改蓝字后，尺寸核实2 的判定跟着变。</t>
        </is>
      </c>
    </row>
    <row r="7" ht="32" customHeight="1">
      <c r="A7" s="2" t="inlineStr">
        <is>
          <t>公式</t>
        </is>
      </c>
      <c r="B7" s="3" t="inlineStr">
        <is>
          <t>尺寸核实2 的和、差、判定都是公式，不要在那些格子里改数字。</t>
        </is>
      </c>
    </row>
    <row r="8" ht="32" customHeight="1">
      <c r="A8" s="2" t="inlineStr">
        <is>
          <t>公差</t>
        </is>
      </c>
      <c r="B8" s="3" t="inlineStr">
        <is>
          <t>源文件没有线性公差。本表只核名义尺寸是否相加等于封闭环。</t>
        </is>
      </c>
    </row>
    <row r="9" ht="32" customHeight="1">
      <c r="A9" s="2" t="inlineStr">
        <is>
          <t>打印</t>
        </is>
      </c>
      <c r="B9" s="3" t="inlineStr">
        <is>
          <t>各表已按 A4 横向设置。直接打印或导出 PDF，不必再改列宽。</t>
        </is>
      </c>
    </row>
  </sheetData>
  <mergeCells count="1">
    <mergeCell ref="A1:B1"/>
  </mergeCells>
  <pageMargins left="0.75" right="0.75" top="1" bottom="1" header="0.5" footer="0.5"/>
  <pageSetup orientation="portrait" paperSize="9" fitToHeight="1" fitToWidth="1"/>
  <headerFooter>
    <oddHeader>&amp;LHBM 微通道冷板</oddHeader>
    <oddFooter>&amp;CAIDCtms 冷却板  ·  尺寸核实2  ·  2026-09-29&amp;R第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D32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36" customWidth="1" min="4" max="4"/>
  </cols>
  <sheetData>
    <row r="1" ht="24" customHeight="1">
      <c r="A1" s="4" t="inlineStr">
        <is>
          <t>输入参数（蓝字可改）</t>
        </is>
      </c>
    </row>
    <row r="3" ht="22" customHeight="1">
      <c r="A3" s="5" t="inlineStr">
        <is>
          <t>名称</t>
        </is>
      </c>
      <c r="B3" s="5" t="inlineStr">
        <is>
          <t>符号</t>
        </is>
      </c>
      <c r="C3" s="5" t="inlineStr">
        <is>
          <t>数值 / mm</t>
        </is>
      </c>
      <c r="D3" s="5" t="inlineStr">
        <is>
          <t>说明</t>
        </is>
      </c>
    </row>
    <row r="4" ht="20" customHeight="1">
      <c r="A4" s="6" t="inlineStr">
        <is>
          <t>列宽</t>
        </is>
      </c>
      <c r="B4" s="7" t="inlineStr">
        <is>
          <t>col_w</t>
        </is>
      </c>
      <c r="C4" s="8" t="n">
        <v>11</v>
      </c>
      <c r="D4" s="9" t="inlineStr">
        <is>
          <t>输入</t>
        </is>
      </c>
    </row>
    <row r="5" ht="20" customHeight="1">
      <c r="A5" s="6" t="inlineStr">
        <is>
          <t>槽宽</t>
        </is>
      </c>
      <c r="B5" s="7" t="inlineStr">
        <is>
          <t>ch_w</t>
        </is>
      </c>
      <c r="C5" s="8" t="n">
        <v>0.8</v>
      </c>
      <c r="D5" s="9" t="inlineStr">
        <is>
          <t>输入</t>
        </is>
      </c>
    </row>
    <row r="6" ht="20" customHeight="1">
      <c r="A6" s="6" t="inlineStr">
        <is>
          <t>槽深</t>
        </is>
      </c>
      <c r="B6" s="7" t="inlineStr">
        <is>
          <t>ch_h</t>
        </is>
      </c>
      <c r="C6" s="8" t="n">
        <v>2</v>
      </c>
      <c r="D6" s="9" t="inlineStr">
        <is>
          <t>输入</t>
        </is>
      </c>
    </row>
    <row r="7" ht="20" customHeight="1">
      <c r="A7" s="6" t="inlineStr">
        <is>
          <t>肋宽</t>
        </is>
      </c>
      <c r="B7" s="7" t="inlineStr">
        <is>
          <t>fin_w</t>
        </is>
      </c>
      <c r="C7" s="8" t="n">
        <v>0.8</v>
      </c>
      <c r="D7" s="9" t="inlineStr">
        <is>
          <t>输入</t>
        </is>
      </c>
    </row>
    <row r="8" ht="20" customHeight="1">
      <c r="A8" s="6" t="inlineStr">
        <is>
          <t>槽数</t>
        </is>
      </c>
      <c r="B8" s="7" t="inlineStr">
        <is>
          <t>n_ch</t>
        </is>
      </c>
      <c r="C8" s="8" t="n">
        <v>7</v>
      </c>
      <c r="D8" s="9" t="inlineStr">
        <is>
          <t>输入</t>
        </is>
      </c>
    </row>
    <row r="9" ht="20" customHeight="1">
      <c r="A9" s="6" t="inlineStr">
        <is>
          <t>岸</t>
        </is>
      </c>
      <c r="B9" s="7" t="inlineStr">
        <is>
          <t>land</t>
        </is>
      </c>
      <c r="C9" s="8" t="n">
        <v>0.3</v>
      </c>
      <c r="D9" s="9" t="inlineStr">
        <is>
          <t>输入</t>
        </is>
      </c>
    </row>
    <row r="10" ht="20" customHeight="1">
      <c r="A10" s="6" t="inlineStr">
        <is>
          <t>列长</t>
        </is>
      </c>
      <c r="B10" s="7" t="inlineStr">
        <is>
          <t>col_len</t>
        </is>
      </c>
      <c r="C10" s="8" t="n">
        <v>50</v>
      </c>
      <c r="D10" s="9" t="inlineStr">
        <is>
          <t>输入</t>
        </is>
      </c>
    </row>
    <row r="11" ht="20" customHeight="1">
      <c r="A11" s="6" t="inlineStr">
        <is>
          <t>单颗高</t>
        </is>
      </c>
      <c r="B11" s="7" t="inlineStr">
        <is>
          <t>stack_h</t>
        </is>
      </c>
      <c r="C11" s="8" t="n">
        <v>11</v>
      </c>
      <c r="D11" s="9" t="inlineStr">
        <is>
          <t>输入</t>
        </is>
      </c>
    </row>
    <row r="12" ht="20" customHeight="1">
      <c r="A12" s="6" t="inlineStr">
        <is>
          <t>间隙</t>
        </is>
      </c>
      <c r="B12" s="7" t="inlineStr">
        <is>
          <t>gap_stack</t>
        </is>
      </c>
      <c r="C12" s="8" t="n">
        <v>2</v>
      </c>
      <c r="D12" s="9" t="inlineStr">
        <is>
          <t>输入</t>
        </is>
      </c>
    </row>
    <row r="13" ht="20" customHeight="1">
      <c r="A13" s="6" t="inlineStr">
        <is>
          <t>颗数</t>
        </is>
      </c>
      <c r="B13" s="7" t="inlineStr">
        <is>
          <t>n_stack</t>
        </is>
      </c>
      <c r="C13" s="8" t="n">
        <v>4</v>
      </c>
      <c r="D13" s="9" t="inlineStr">
        <is>
          <t>输入</t>
        </is>
      </c>
    </row>
    <row r="14" ht="20" customHeight="1">
      <c r="A14" s="6" t="inlineStr">
        <is>
          <t>加热长</t>
        </is>
      </c>
      <c r="B14" s="7" t="inlineStr">
        <is>
          <t>heat_len</t>
        </is>
      </c>
      <c r="C14" s="8" t="n">
        <v>44</v>
      </c>
      <c r="D14" s="9" t="inlineStr">
        <is>
          <t>输入</t>
        </is>
      </c>
    </row>
    <row r="15" ht="20" customHeight="1">
      <c r="A15" s="6" t="inlineStr">
        <is>
          <t>底铜</t>
        </is>
      </c>
      <c r="B15" s="7" t="inlineStr">
        <is>
          <t>base</t>
        </is>
      </c>
      <c r="C15" s="8" t="n">
        <v>2</v>
      </c>
      <c r="D15" s="9" t="inlineStr">
        <is>
          <t>输入</t>
        </is>
      </c>
    </row>
    <row r="16" ht="20" customHeight="1">
      <c r="A16" s="6" t="inlineStr">
        <is>
          <t>上铜板</t>
        </is>
      </c>
      <c r="B16" s="7" t="inlineStr">
        <is>
          <t>lid</t>
        </is>
      </c>
      <c r="C16" s="8" t="n">
        <v>4</v>
      </c>
      <c r="D16" s="9" t="inlineStr">
        <is>
          <t>输入</t>
        </is>
      </c>
    </row>
    <row r="17" ht="20" customHeight="1">
      <c r="A17" s="6" t="inlineStr">
        <is>
          <t>铜厚</t>
        </is>
      </c>
      <c r="B17" s="7" t="inlineStr">
        <is>
          <t>plate_hbm</t>
        </is>
      </c>
      <c r="C17" s="8" t="n">
        <v>8</v>
      </c>
      <c r="D17" s="9" t="inlineStr">
        <is>
          <t>输入</t>
        </is>
      </c>
    </row>
    <row r="18" ht="20" customHeight="1">
      <c r="A18" s="6" t="inlineStr">
        <is>
          <t>TIM</t>
        </is>
      </c>
      <c r="B18" s="7" t="inlineStr">
        <is>
          <t>tim</t>
        </is>
      </c>
      <c r="C18" s="8" t="n">
        <v>0.08</v>
      </c>
      <c r="D18" s="9" t="inlineStr">
        <is>
          <t>输入</t>
        </is>
      </c>
    </row>
    <row r="19" ht="20" customHeight="1">
      <c r="A19" s="6" t="inlineStr">
        <is>
          <t>对照岸</t>
        </is>
      </c>
      <c r="B19" s="7" t="inlineStr">
        <is>
          <t>land65</t>
        </is>
      </c>
      <c r="C19" s="8" t="n">
        <v>0.65</v>
      </c>
      <c r="D19" s="9" t="inlineStr">
        <is>
          <t>输入</t>
        </is>
      </c>
    </row>
    <row r="20" ht="20" customHeight="1">
      <c r="A20" s="6" t="inlineStr">
        <is>
          <t>对照槽宽</t>
        </is>
      </c>
      <c r="B20" s="7" t="inlineStr">
        <is>
          <t>ch60</t>
        </is>
      </c>
      <c r="C20" s="8" t="n">
        <v>0.6</v>
      </c>
      <c r="D20" s="9" t="inlineStr">
        <is>
          <t>输入</t>
        </is>
      </c>
    </row>
    <row r="21" ht="20" customHeight="1">
      <c r="A21" s="6" t="inlineStr">
        <is>
          <t>对照肋</t>
        </is>
      </c>
      <c r="B21" s="7" t="inlineStr">
        <is>
          <t>fin70</t>
        </is>
      </c>
      <c r="C21" s="8" t="n">
        <v>0.7</v>
      </c>
      <c r="D21" s="9" t="inlineStr">
        <is>
          <t>输入</t>
        </is>
      </c>
    </row>
    <row r="22" ht="20" customHeight="1">
      <c r="A22" s="6" t="inlineStr">
        <is>
          <t>对照槽数</t>
        </is>
      </c>
      <c r="B22" s="7" t="inlineStr">
        <is>
          <t>n8</t>
        </is>
      </c>
      <c r="C22" s="8" t="n">
        <v>8</v>
      </c>
      <c r="D22" s="9" t="inlineStr">
        <is>
          <t>输入</t>
        </is>
      </c>
    </row>
    <row r="23" ht="20" customHeight="1">
      <c r="A23" s="6" t="inlineStr">
        <is>
          <t>板宽</t>
        </is>
      </c>
      <c r="B23" s="7" t="inlineStr">
        <is>
          <t>plate_L</t>
        </is>
      </c>
      <c r="C23" s="8" t="n">
        <v>95</v>
      </c>
      <c r="D23" s="9" t="inlineStr">
        <is>
          <t>输入</t>
        </is>
      </c>
    </row>
    <row r="24" ht="20" customHeight="1">
      <c r="A24" s="6" t="inlineStr">
        <is>
          <t>板长</t>
        </is>
      </c>
      <c r="B24" s="7" t="inlineStr">
        <is>
          <t>plate_W</t>
        </is>
      </c>
      <c r="C24" s="8" t="n">
        <v>75</v>
      </c>
      <c r="D24" s="9" t="inlineStr">
        <is>
          <t>输入</t>
        </is>
      </c>
    </row>
    <row r="25" ht="20" customHeight="1">
      <c r="A25" s="6" t="inlineStr">
        <is>
          <t>左边距</t>
        </is>
      </c>
      <c r="B25" s="7" t="inlineStr">
        <is>
          <t>margin_x</t>
        </is>
      </c>
      <c r="C25" s="8" t="n">
        <v>5</v>
      </c>
      <c r="D25" s="9" t="inlineStr">
        <is>
          <t>输入</t>
        </is>
      </c>
    </row>
    <row r="26" ht="20" customHeight="1">
      <c r="A26" s="6" t="inlineStr">
        <is>
          <t>缝</t>
        </is>
      </c>
      <c r="B26" s="7" t="inlineStr">
        <is>
          <t>gap_rib</t>
        </is>
      </c>
      <c r="C26" s="8" t="n">
        <v>0.5</v>
      </c>
      <c r="D26" s="9" t="inlineStr">
        <is>
          <t>输入</t>
        </is>
      </c>
    </row>
    <row r="27" ht="20" customHeight="1">
      <c r="A27" s="6" t="inlineStr">
        <is>
          <t>肋</t>
        </is>
      </c>
      <c r="B27" s="7" t="inlineStr">
        <is>
          <t>rib_w</t>
        </is>
      </c>
      <c r="C27" s="8" t="n">
        <v>2</v>
      </c>
      <c r="D27" s="9" t="inlineStr">
        <is>
          <t>输入</t>
        </is>
      </c>
    </row>
    <row r="28" ht="20" customHeight="1">
      <c r="A28" s="6" t="inlineStr">
        <is>
          <t>die 宽</t>
        </is>
      </c>
      <c r="B28" s="7" t="inlineStr">
        <is>
          <t>die_w</t>
        </is>
      </c>
      <c r="C28" s="8" t="n">
        <v>27</v>
      </c>
      <c r="D28" s="9" t="inlineStr">
        <is>
          <t>输入</t>
        </is>
      </c>
    </row>
    <row r="29" ht="20" customHeight="1">
      <c r="A29" s="6" t="inlineStr">
        <is>
          <t>HBI</t>
        </is>
      </c>
      <c r="B29" s="7" t="inlineStr">
        <is>
          <t>hbi</t>
        </is>
      </c>
      <c r="C29" s="8" t="n">
        <v>3</v>
      </c>
      <c r="D29" s="9" t="inlineStr">
        <is>
          <t>输入</t>
        </is>
      </c>
    </row>
    <row r="30" ht="20" customHeight="1">
      <c r="A30" s="6" t="inlineStr">
        <is>
          <t>Y 边距</t>
        </is>
      </c>
      <c r="B30" s="7" t="inlineStr">
        <is>
          <t>y_end</t>
        </is>
      </c>
      <c r="C30" s="8" t="n">
        <v>12.5</v>
      </c>
      <c r="D30" s="9" t="inlineStr">
        <is>
          <t>输入</t>
        </is>
      </c>
    </row>
    <row r="31" ht="20" customHeight="1">
      <c r="A31" s="6" t="inlineStr">
        <is>
          <t>右列 x</t>
        </is>
      </c>
      <c r="B31" s="7" t="inlineStr">
        <is>
          <t>hbm_xr</t>
        </is>
      </c>
      <c r="C31" s="8" t="n">
        <v>79</v>
      </c>
      <c r="D31" s="9" t="inlineStr">
        <is>
          <t>输入</t>
        </is>
      </c>
    </row>
    <row r="32" ht="20" customHeight="1">
      <c r="A32" s="6" t="inlineStr">
        <is>
          <t>Die-A 左缘</t>
        </is>
      </c>
      <c r="B32" s="7" t="inlineStr">
        <is>
          <t>die_ax</t>
        </is>
      </c>
      <c r="C32" s="8" t="n">
        <v>19</v>
      </c>
      <c r="D32" s="9" t="inlineStr">
        <is>
          <t>输入</t>
        </is>
      </c>
    </row>
  </sheetData>
  <autoFilter ref="A3:D32"/>
  <mergeCells count="1">
    <mergeCell ref="A1:D1"/>
  </mergeCells>
  <pageMargins left="0.5" right="0.5" top="0.7" bottom="0.6" header="0.5" footer="0.5"/>
  <pageSetup orientation="landscape" paperSize="9" fitToHeight="0" fitToWidth="1"/>
  <headerFooter>
    <oddHeader>&amp;L输入参数</oddHeader>
    <oddFooter>&amp;CAIDCtms 冷却板  ·  尺寸核实2  ·  2026-09-29&amp;R尺寸核实2  ·  2026-09-29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C1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55" customWidth="1" min="3" max="3"/>
  </cols>
  <sheetData>
    <row r="1" ht="24" customHeight="1">
      <c r="A1" s="4" t="inlineStr">
        <is>
          <t>结构布局（与布局说明同一坐标）</t>
        </is>
      </c>
    </row>
    <row r="3" ht="22" customHeight="1">
      <c r="A3" s="10" t="inlineStr">
        <is>
          <t>项目</t>
        </is>
      </c>
      <c r="B3" s="10" t="inlineStr">
        <is>
          <t>坐标或关系</t>
        </is>
      </c>
      <c r="C3" s="10" t="inlineStr">
        <is>
          <t>说明</t>
        </is>
      </c>
    </row>
    <row r="4" ht="32" customHeight="1">
      <c r="A4" s="11" t="inlineStr">
        <is>
          <t>左列</t>
        </is>
      </c>
      <c r="B4" s="11" t="inlineStr">
        <is>
          <t>x 5–16，y 12.5–62.5</t>
        </is>
      </c>
      <c r="C4" s="11" t="inlineStr">
        <is>
          <t>宽 11，长 50</t>
        </is>
      </c>
    </row>
    <row r="5" ht="32" customHeight="1">
      <c r="A5" s="11" t="inlineStr">
        <is>
          <t>右列</t>
        </is>
      </c>
      <c r="B5" s="11" t="inlineStr">
        <is>
          <t>x 79–90，y 12.5–62.5</t>
        </is>
      </c>
      <c r="C5" s="11" t="inlineStr">
        <is>
          <t>与左列同一截面</t>
        </is>
      </c>
    </row>
    <row r="6" ht="32" customHeight="1">
      <c r="A6" s="11" t="inlineStr">
        <is>
          <t>四颗</t>
        </is>
      </c>
      <c r="B6" s="11" t="inlineStr">
        <is>
          <t>y 12.5 / 25.5 / 38.5 / 51.5</t>
        </is>
      </c>
      <c r="C6" s="11" t="inlineStr">
        <is>
          <t>各高 11，间隙 2，加热合计 44</t>
        </is>
      </c>
    </row>
    <row r="7" ht="32" customHeight="1">
      <c r="A7" s="11" t="inlineStr">
        <is>
          <t>与 die 的关系</t>
        </is>
      </c>
      <c r="B7" s="11" t="inlineStr">
        <is>
          <t>列外 0.5 缝 + 2.0 肋 + 0.5 缝</t>
        </is>
      </c>
      <c r="C7" s="11" t="inlineStr">
        <is>
          <t>接到 Die-A 的 x=19</t>
        </is>
      </c>
    </row>
    <row r="8" ht="32" customHeight="1">
      <c r="A8" s="11" t="inlineStr">
        <is>
          <t>采用截面</t>
        </is>
      </c>
      <c r="B8" s="11" t="inlineStr">
        <is>
          <t>7 条 0.80×2.00，肋 0.80，岸 0.30</t>
        </is>
      </c>
      <c r="C8" s="11" t="inlineStr">
        <is>
          <t>w08h20，槽顶封死</t>
        </is>
      </c>
    </row>
    <row r="9" ht="32" customHeight="1">
      <c r="A9" s="11" t="inlineStr">
        <is>
          <t>厚度</t>
        </is>
      </c>
      <c r="B9" s="11" t="inlineStr">
        <is>
          <t>底铜 2 + 槽 2 + 上铜板 4</t>
        </is>
      </c>
      <c r="C9" s="11" t="inlineStr">
        <is>
          <t>铜厚 8，TIM 0.080 不进板厚</t>
        </is>
      </c>
    </row>
    <row r="10" ht="32" customHeight="1">
      <c r="A10" s="11" t="inlineStr">
        <is>
          <t>对照截面</t>
        </is>
      </c>
      <c r="B10" s="11" t="inlineStr">
        <is>
          <t>8 条 0.60，肋 0.70，岸 0.65</t>
        </is>
      </c>
      <c r="C10" s="11" t="inlineStr">
        <is>
          <t>也能合成 11 mm，本板不采用</t>
        </is>
      </c>
    </row>
  </sheetData>
  <autoFilter ref="A3:C10"/>
  <mergeCells count="1">
    <mergeCell ref="A1:C1"/>
  </mergeCells>
  <pageMargins left="0.5" right="0.5" top="0.7" bottom="0.6" header="0.5" footer="0.5"/>
  <pageSetup orientation="landscape" paperSize="9" fitToHeight="0" fitToWidth="1"/>
  <headerFooter>
    <oddHeader>&amp;L结构布局</oddHeader>
    <oddFooter>&amp;CAIDCtms 冷却板  ·  尺寸核实2  ·  2026-09-29&amp;R尺寸核实2  ·  2026-09-29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D2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48" customWidth="1" min="4" max="4"/>
  </cols>
  <sheetData>
    <row r="1" ht="24" customHeight="1">
      <c r="A1" s="4" t="inlineStr">
        <is>
          <t>结构尺寸</t>
        </is>
      </c>
    </row>
    <row r="3" ht="22" customHeight="1">
      <c r="A3" s="5" t="inlineStr">
        <is>
          <t>分组</t>
        </is>
      </c>
      <c r="B3" s="5" t="inlineStr">
        <is>
          <t>项目</t>
        </is>
      </c>
      <c r="C3" s="5" t="inlineStr">
        <is>
          <t>尺寸</t>
        </is>
      </c>
      <c r="D3" s="5" t="inlineStr">
        <is>
          <t>说明</t>
        </is>
      </c>
    </row>
    <row r="4" ht="22" customHeight="1">
      <c r="A4" s="11" t="inlineStr">
        <is>
          <t>采用</t>
        </is>
      </c>
      <c r="B4" s="11" t="inlineStr">
        <is>
          <t>列宽</t>
        </is>
      </c>
      <c r="C4" s="12" t="n">
        <v>11</v>
      </c>
      <c r="D4" s="11" t="inlineStr"/>
    </row>
    <row r="5" ht="22" customHeight="1">
      <c r="A5" s="11" t="inlineStr">
        <is>
          <t>采用</t>
        </is>
      </c>
      <c r="B5" s="11" t="inlineStr">
        <is>
          <t>槽宽</t>
        </is>
      </c>
      <c r="C5" s="12" t="n">
        <v>0.8</v>
      </c>
      <c r="D5" s="11" t="inlineStr"/>
    </row>
    <row r="6" ht="22" customHeight="1">
      <c r="A6" s="11" t="inlineStr">
        <is>
          <t>采用</t>
        </is>
      </c>
      <c r="B6" s="11" t="inlineStr">
        <is>
          <t>槽深</t>
        </is>
      </c>
      <c r="C6" s="12" t="n">
        <v>2</v>
      </c>
      <c r="D6" s="11" t="inlineStr">
        <is>
          <t>封闭</t>
        </is>
      </c>
    </row>
    <row r="7" ht="22" customHeight="1">
      <c r="A7" s="11" t="inlineStr">
        <is>
          <t>采用</t>
        </is>
      </c>
      <c r="B7" s="11" t="inlineStr">
        <is>
          <t>肋宽</t>
        </is>
      </c>
      <c r="C7" s="12" t="n">
        <v>0.8</v>
      </c>
      <c r="D7" s="11" t="inlineStr">
        <is>
          <t>节距 1.60</t>
        </is>
      </c>
    </row>
    <row r="8" ht="22" customHeight="1">
      <c r="A8" s="11" t="inlineStr">
        <is>
          <t>采用</t>
        </is>
      </c>
      <c r="B8" s="11" t="inlineStr">
        <is>
          <t>条数</t>
        </is>
      </c>
      <c r="C8" s="12" t="n">
        <v>7</v>
      </c>
      <c r="D8" s="11" t="inlineStr">
        <is>
          <t>单侧</t>
        </is>
      </c>
    </row>
    <row r="9" ht="22" customHeight="1">
      <c r="A9" s="11" t="inlineStr">
        <is>
          <t>采用</t>
        </is>
      </c>
      <c r="B9" s="11" t="inlineStr">
        <is>
          <t>岸</t>
        </is>
      </c>
      <c r="C9" s="12" t="n">
        <v>0.3</v>
      </c>
      <c r="D9" s="11" t="inlineStr">
        <is>
          <t>两侧</t>
        </is>
      </c>
    </row>
    <row r="10" ht="22" customHeight="1">
      <c r="A10" s="11" t="inlineStr">
        <is>
          <t>采用</t>
        </is>
      </c>
      <c r="B10" s="11" t="inlineStr">
        <is>
          <t>列长</t>
        </is>
      </c>
      <c r="C10" s="12" t="n">
        <v>50</v>
      </c>
      <c r="D10" s="11" t="inlineStr"/>
    </row>
    <row r="11" ht="22" customHeight="1">
      <c r="A11" s="11" t="inlineStr">
        <is>
          <t>采用</t>
        </is>
      </c>
      <c r="B11" s="11" t="inlineStr">
        <is>
          <t>加热长</t>
        </is>
      </c>
      <c r="C11" s="12" t="n">
        <v>44</v>
      </c>
      <c r="D11" s="11" t="inlineStr">
        <is>
          <t>四颗</t>
        </is>
      </c>
    </row>
    <row r="12" ht="22" customHeight="1">
      <c r="A12" s="11" t="inlineStr">
        <is>
          <t>采用</t>
        </is>
      </c>
      <c r="B12" s="11" t="inlineStr">
        <is>
          <t>底铜</t>
        </is>
      </c>
      <c r="C12" s="12" t="n">
        <v>2</v>
      </c>
      <c r="D12" s="11" t="inlineStr"/>
    </row>
    <row r="13" ht="22" customHeight="1">
      <c r="A13" s="11" t="inlineStr">
        <is>
          <t>采用</t>
        </is>
      </c>
      <c r="B13" s="11" t="inlineStr">
        <is>
          <t>上铜板</t>
        </is>
      </c>
      <c r="C13" s="12" t="n">
        <v>4</v>
      </c>
      <c r="D13" s="11" t="inlineStr"/>
    </row>
    <row r="14" ht="22" customHeight="1">
      <c r="A14" s="11" t="inlineStr">
        <is>
          <t>采用</t>
        </is>
      </c>
      <c r="B14" s="11" t="inlineStr">
        <is>
          <t>铜厚</t>
        </is>
      </c>
      <c r="C14" s="12" t="n">
        <v>8</v>
      </c>
      <c r="D14" s="11" t="inlineStr">
        <is>
          <t>不含 TIM</t>
        </is>
      </c>
    </row>
    <row r="15" ht="22" customHeight="1">
      <c r="A15" s="11" t="inlineStr">
        <is>
          <t>采用</t>
        </is>
      </c>
      <c r="B15" s="11" t="inlineStr">
        <is>
          <t>TIM</t>
        </is>
      </c>
      <c r="C15" s="12" t="n">
        <v>0.08</v>
      </c>
      <c r="D15" s="11" t="inlineStr">
        <is>
          <t>不进板厚</t>
        </is>
      </c>
    </row>
    <row r="16" ht="22" customHeight="1">
      <c r="A16" s="11" t="inlineStr">
        <is>
          <t>位置</t>
        </is>
      </c>
      <c r="B16" s="11" t="inlineStr">
        <is>
          <t>左列 x</t>
        </is>
      </c>
      <c r="C16" s="12" t="n">
        <v>5</v>
      </c>
      <c r="D16" s="11" t="inlineStr"/>
    </row>
    <row r="17" ht="22" customHeight="1">
      <c r="A17" s="11" t="inlineStr">
        <is>
          <t>位置</t>
        </is>
      </c>
      <c r="B17" s="11" t="inlineStr">
        <is>
          <t>右列 x</t>
        </is>
      </c>
      <c r="C17" s="12" t="n">
        <v>79</v>
      </c>
      <c r="D17" s="11" t="inlineStr"/>
    </row>
    <row r="18" ht="22" customHeight="1">
      <c r="A18" s="11" t="inlineStr">
        <is>
          <t>对照</t>
        </is>
      </c>
      <c r="B18" s="11" t="inlineStr">
        <is>
          <t>槽宽</t>
        </is>
      </c>
      <c r="C18" s="12" t="n">
        <v>0.6</v>
      </c>
      <c r="D18" s="11" t="inlineStr">
        <is>
          <t>不采用</t>
        </is>
      </c>
    </row>
    <row r="19" ht="22" customHeight="1">
      <c r="A19" s="11" t="inlineStr">
        <is>
          <t>对照</t>
        </is>
      </c>
      <c r="B19" s="11" t="inlineStr">
        <is>
          <t>肋宽</t>
        </is>
      </c>
      <c r="C19" s="12" t="n">
        <v>0.7</v>
      </c>
      <c r="D19" s="11" t="inlineStr">
        <is>
          <t>不采用</t>
        </is>
      </c>
    </row>
    <row r="20" ht="22" customHeight="1">
      <c r="A20" s="11" t="inlineStr">
        <is>
          <t>对照</t>
        </is>
      </c>
      <c r="B20" s="11" t="inlineStr">
        <is>
          <t>岸</t>
        </is>
      </c>
      <c r="C20" s="12" t="n">
        <v>0.65</v>
      </c>
      <c r="D20" s="11" t="inlineStr">
        <is>
          <t>不采用</t>
        </is>
      </c>
    </row>
    <row r="21" ht="22" customHeight="1">
      <c r="A21" s="11" t="inlineStr">
        <is>
          <t>对照</t>
        </is>
      </c>
      <c r="B21" s="11" t="inlineStr">
        <is>
          <t>条数</t>
        </is>
      </c>
      <c r="C21" s="12" t="n">
        <v>8</v>
      </c>
      <c r="D21" s="11" t="inlineStr">
        <is>
          <t>不采用</t>
        </is>
      </c>
    </row>
  </sheetData>
  <autoFilter ref="A3:D21"/>
  <mergeCells count="1">
    <mergeCell ref="A1:D1"/>
  </mergeCells>
  <pageMargins left="0.5" right="0.5" top="0.7" bottom="0.6" header="0.5" footer="0.5"/>
  <pageSetup orientation="landscape" paperSize="9" fitToHeight="0" fitToWidth="1"/>
  <headerFooter>
    <oddHeader>&amp;L结构尺寸</oddHeader>
    <oddFooter>&amp;CAIDCtms 冷却板  ·  尺寸核实2  ·  2026-09-29&amp;R尺寸核实2  ·  2026-09-29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G7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2" customWidth="1" min="3" max="3"/>
    <col width="28" customWidth="1" min="4" max="4"/>
    <col width="16" customWidth="1" min="5" max="5"/>
    <col width="10" customWidth="1" min="6" max="6"/>
    <col width="42" customWidth="1" min="7" max="7"/>
  </cols>
  <sheetData>
    <row r="1" ht="24" customHeight="1">
      <c r="A1" s="4" t="inlineStr">
        <is>
          <t>尺寸核实2 · 组成环重新相加</t>
        </is>
      </c>
    </row>
    <row r="2" ht="22" customHeight="1">
      <c r="A2" s="13" t="inlineStr">
        <is>
          <t>蓝字来自输入参数。黑色数字是公式。判定公差 0.001 mm，只用于浮点，不是制图公差。</t>
        </is>
      </c>
    </row>
    <row r="4" ht="22" customHeight="1">
      <c r="A4" s="14" t="inlineStr">
        <is>
          <t>HBM 列宽（采用 0.80×2.00，7 槽）</t>
        </is>
      </c>
    </row>
    <row r="5">
      <c r="A5" s="15" t="inlineStr">
        <is>
          <t>链</t>
        </is>
      </c>
      <c r="B5" s="15" t="inlineStr">
        <is>
          <t>序号</t>
        </is>
      </c>
      <c r="C5" s="15" t="inlineStr">
        <is>
          <t>组成环</t>
        </is>
      </c>
      <c r="D5" s="15" t="inlineStr">
        <is>
          <t>计算式</t>
        </is>
      </c>
      <c r="E5" s="15" t="inlineStr">
        <is>
          <t>数值 / mm</t>
        </is>
      </c>
      <c r="F5" s="15" t="inlineStr">
        <is>
          <t>采用</t>
        </is>
      </c>
      <c r="G5" s="15" t="inlineStr">
        <is>
          <t>说明</t>
        </is>
      </c>
    </row>
    <row r="6" ht="20" customHeight="1">
      <c r="A6" s="6" t="inlineStr">
        <is>
          <t>列宽</t>
        </is>
      </c>
      <c r="B6" s="9" t="n">
        <v>1</v>
      </c>
      <c r="C6" s="6" t="inlineStr">
        <is>
          <t>左岸</t>
        </is>
      </c>
      <c r="D6" s="16" t="inlineStr">
        <is>
          <t>land</t>
        </is>
      </c>
      <c r="E6" s="17">
        <f>land</f>
        <v/>
      </c>
      <c r="F6" s="9" t="inlineStr">
        <is>
          <t>是</t>
        </is>
      </c>
      <c r="G6" s="6" t="inlineStr">
        <is>
          <t>0.30</t>
        </is>
      </c>
    </row>
    <row r="7" ht="20" customHeight="1">
      <c r="A7" s="6" t="inlineStr">
        <is>
          <t>列宽</t>
        </is>
      </c>
      <c r="B7" s="9" t="n">
        <v>2</v>
      </c>
      <c r="C7" s="6" t="inlineStr">
        <is>
          <t>7 条槽</t>
        </is>
      </c>
      <c r="D7" s="16" t="inlineStr">
        <is>
          <t>n_ch*ch_w</t>
        </is>
      </c>
      <c r="E7" s="17">
        <f>n_ch*ch_w</f>
        <v/>
      </c>
      <c r="F7" s="9" t="inlineStr">
        <is>
          <t>是</t>
        </is>
      </c>
      <c r="G7" s="6" t="inlineStr"/>
    </row>
    <row r="8" ht="20" customHeight="1">
      <c r="A8" s="6" t="inlineStr">
        <is>
          <t>列宽</t>
        </is>
      </c>
      <c r="B8" s="9" t="n">
        <v>3</v>
      </c>
      <c r="C8" s="6" t="inlineStr">
        <is>
          <t>6 条肋</t>
        </is>
      </c>
      <c r="D8" s="16" t="inlineStr">
        <is>
          <t>(n_ch-1)*fin_w</t>
        </is>
      </c>
      <c r="E8" s="17">
        <f>(n_ch-1)*fin_w</f>
        <v/>
      </c>
      <c r="F8" s="9" t="inlineStr">
        <is>
          <t>是</t>
        </is>
      </c>
      <c r="G8" s="6" t="inlineStr">
        <is>
          <t>肋宽 0.80，节距 1.60</t>
        </is>
      </c>
    </row>
    <row r="9" ht="20" customHeight="1">
      <c r="A9" s="6" t="inlineStr">
        <is>
          <t>列宽</t>
        </is>
      </c>
      <c r="B9" s="9" t="n">
        <v>4</v>
      </c>
      <c r="C9" s="6" t="inlineStr">
        <is>
          <t>右岸</t>
        </is>
      </c>
      <c r="D9" s="16" t="inlineStr">
        <is>
          <t>land</t>
        </is>
      </c>
      <c r="E9" s="17">
        <f>land</f>
        <v/>
      </c>
      <c r="F9" s="9" t="inlineStr">
        <is>
          <t>是</t>
        </is>
      </c>
      <c r="G9" s="6" t="inlineStr"/>
    </row>
    <row r="10">
      <c r="A10" s="18" t="n"/>
      <c r="B10" s="18" t="n"/>
      <c r="C10" s="19" t="inlineStr">
        <is>
          <t>组成环之和</t>
        </is>
      </c>
      <c r="D10" s="18" t="n"/>
      <c r="E10" s="20">
        <f>SUM(E6:E9)</f>
        <v/>
      </c>
      <c r="F10" s="18" t="n"/>
      <c r="G10" s="18" t="n"/>
    </row>
    <row r="11">
      <c r="A11" s="21" t="n"/>
      <c r="B11" s="21" t="n"/>
      <c r="C11" s="22" t="inlineStr">
        <is>
          <t>封闭环</t>
        </is>
      </c>
      <c r="D11" s="21" t="n"/>
      <c r="E11" s="23">
        <f>col_w</f>
        <v/>
      </c>
      <c r="F11" s="21" t="n"/>
      <c r="G11" s="21" t="n"/>
    </row>
    <row r="12">
      <c r="A12" s="21" t="n"/>
      <c r="B12" s="21" t="n"/>
      <c r="C12" s="24" t="inlineStr">
        <is>
          <t>差值（和 − 封闭环）</t>
        </is>
      </c>
      <c r="D12" s="21" t="n"/>
      <c r="E12" s="25">
        <f>E10-E11</f>
        <v/>
      </c>
      <c r="F12" s="21" t="n"/>
      <c r="G12" s="21" t="n"/>
    </row>
    <row r="13" ht="22" customHeight="1">
      <c r="A13" s="21" t="n"/>
      <c r="B13" s="21" t="n"/>
      <c r="C13" s="22" t="inlineStr">
        <is>
          <t>判定</t>
        </is>
      </c>
      <c r="D13" s="21" t="n"/>
      <c r="E13" s="26">
        <f>IF(ABS(E10-E11)&lt;0.001,"闭合","不闭合")</f>
        <v/>
      </c>
      <c r="F13" s="21" t="n"/>
      <c r="G13" s="21" t="n"/>
    </row>
    <row r="15" ht="22" customHeight="1">
      <c r="A15" s="14" t="inlineStr">
        <is>
          <t>列长（四颗加三处间隙）</t>
        </is>
      </c>
    </row>
    <row r="16">
      <c r="A16" s="15" t="inlineStr">
        <is>
          <t>链</t>
        </is>
      </c>
      <c r="B16" s="15" t="inlineStr">
        <is>
          <t>序号</t>
        </is>
      </c>
      <c r="C16" s="15" t="inlineStr">
        <is>
          <t>组成环</t>
        </is>
      </c>
      <c r="D16" s="15" t="inlineStr">
        <is>
          <t>计算式</t>
        </is>
      </c>
      <c r="E16" s="15" t="inlineStr">
        <is>
          <t>数值 / mm</t>
        </is>
      </c>
      <c r="F16" s="15" t="inlineStr">
        <is>
          <t>采用</t>
        </is>
      </c>
      <c r="G16" s="15" t="inlineStr">
        <is>
          <t>说明</t>
        </is>
      </c>
    </row>
    <row r="17" ht="20" customHeight="1">
      <c r="A17" s="6" t="inlineStr">
        <is>
          <t>列长</t>
        </is>
      </c>
      <c r="B17" s="9" t="n">
        <v>1</v>
      </c>
      <c r="C17" s="6" t="inlineStr">
        <is>
          <t>四颗高度</t>
        </is>
      </c>
      <c r="D17" s="16" t="inlineStr">
        <is>
          <t>n_stack*stack_h</t>
        </is>
      </c>
      <c r="E17" s="17">
        <f>n_stack*stack_h</f>
        <v/>
      </c>
      <c r="F17" s="9" t="inlineStr">
        <is>
          <t>是</t>
        </is>
      </c>
      <c r="G17" s="6" t="inlineStr"/>
    </row>
    <row r="18" ht="20" customHeight="1">
      <c r="A18" s="6" t="inlineStr">
        <is>
          <t>列长</t>
        </is>
      </c>
      <c r="B18" s="9" t="n">
        <v>2</v>
      </c>
      <c r="C18" s="6" t="inlineStr">
        <is>
          <t>三处间隙</t>
        </is>
      </c>
      <c r="D18" s="16" t="inlineStr">
        <is>
          <t>(n_stack-1)*gap_stack</t>
        </is>
      </c>
      <c r="E18" s="17">
        <f>(n_stack-1)*gap_stack</f>
        <v/>
      </c>
      <c r="F18" s="9" t="inlineStr">
        <is>
          <t>是</t>
        </is>
      </c>
      <c r="G18" s="6" t="inlineStr"/>
    </row>
    <row r="19">
      <c r="A19" s="18" t="n"/>
      <c r="B19" s="18" t="n"/>
      <c r="C19" s="19" t="inlineStr">
        <is>
          <t>组成环之和</t>
        </is>
      </c>
      <c r="D19" s="18" t="n"/>
      <c r="E19" s="20">
        <f>SUM(E17:E18)</f>
        <v/>
      </c>
      <c r="F19" s="18" t="n"/>
      <c r="G19" s="18" t="n"/>
    </row>
    <row r="20">
      <c r="A20" s="21" t="n"/>
      <c r="B20" s="21" t="n"/>
      <c r="C20" s="22" t="inlineStr">
        <is>
          <t>封闭环</t>
        </is>
      </c>
      <c r="D20" s="21" t="n"/>
      <c r="E20" s="23">
        <f>col_len</f>
        <v/>
      </c>
      <c r="F20" s="21" t="n"/>
      <c r="G20" s="21" t="n"/>
    </row>
    <row r="21">
      <c r="A21" s="21" t="n"/>
      <c r="B21" s="21" t="n"/>
      <c r="C21" s="24" t="inlineStr">
        <is>
          <t>差值（和 − 封闭环）</t>
        </is>
      </c>
      <c r="D21" s="21" t="n"/>
      <c r="E21" s="25">
        <f>E19-E20</f>
        <v/>
      </c>
      <c r="F21" s="21" t="n"/>
      <c r="G21" s="21" t="n"/>
    </row>
    <row r="22" ht="22" customHeight="1">
      <c r="A22" s="21" t="n"/>
      <c r="B22" s="21" t="n"/>
      <c r="C22" s="22" t="inlineStr">
        <is>
          <t>判定</t>
        </is>
      </c>
      <c r="D22" s="21" t="n"/>
      <c r="E22" s="26">
        <f>IF(ABS(E19-E20)&lt;0.001,"闭合","不闭合")</f>
        <v/>
      </c>
      <c r="F22" s="21" t="n"/>
      <c r="G22" s="21" t="n"/>
    </row>
    <row r="24" ht="22" customHeight="1">
      <c r="A24" s="14" t="inlineStr">
        <is>
          <t>加热长度</t>
        </is>
      </c>
    </row>
    <row r="25">
      <c r="A25" s="15" t="inlineStr">
        <is>
          <t>链</t>
        </is>
      </c>
      <c r="B25" s="15" t="inlineStr">
        <is>
          <t>序号</t>
        </is>
      </c>
      <c r="C25" s="15" t="inlineStr">
        <is>
          <t>组成环</t>
        </is>
      </c>
      <c r="D25" s="15" t="inlineStr">
        <is>
          <t>计算式</t>
        </is>
      </c>
      <c r="E25" s="15" t="inlineStr">
        <is>
          <t>数值 / mm</t>
        </is>
      </c>
      <c r="F25" s="15" t="inlineStr">
        <is>
          <t>采用</t>
        </is>
      </c>
      <c r="G25" s="15" t="inlineStr">
        <is>
          <t>说明</t>
        </is>
      </c>
    </row>
    <row r="26" ht="20" customHeight="1">
      <c r="A26" s="6" t="inlineStr">
        <is>
          <t>加热长</t>
        </is>
      </c>
      <c r="B26" s="9" t="n">
        <v>1</v>
      </c>
      <c r="C26" s="6" t="inlineStr">
        <is>
          <t>四颗高度</t>
        </is>
      </c>
      <c r="D26" s="16" t="inlineStr">
        <is>
          <t>n_stack*stack_h</t>
        </is>
      </c>
      <c r="E26" s="17">
        <f>n_stack*stack_h</f>
        <v/>
      </c>
      <c r="F26" s="9" t="inlineStr">
        <is>
          <t>是</t>
        </is>
      </c>
      <c r="G26" s="6" t="inlineStr">
        <is>
          <t>间隙不加热</t>
        </is>
      </c>
    </row>
    <row r="27">
      <c r="A27" s="18" t="n"/>
      <c r="B27" s="18" t="n"/>
      <c r="C27" s="19" t="inlineStr">
        <is>
          <t>组成环之和</t>
        </is>
      </c>
      <c r="D27" s="18" t="n"/>
      <c r="E27" s="20">
        <f>SUM(E26:E26)</f>
        <v/>
      </c>
      <c r="F27" s="18" t="n"/>
      <c r="G27" s="18" t="n"/>
    </row>
    <row r="28">
      <c r="A28" s="21" t="n"/>
      <c r="B28" s="21" t="n"/>
      <c r="C28" s="22" t="inlineStr">
        <is>
          <t>封闭环</t>
        </is>
      </c>
      <c r="D28" s="21" t="n"/>
      <c r="E28" s="23">
        <f>heat_len</f>
        <v/>
      </c>
      <c r="F28" s="21" t="n"/>
      <c r="G28" s="21" t="n"/>
    </row>
    <row r="29">
      <c r="A29" s="21" t="n"/>
      <c r="B29" s="21" t="n"/>
      <c r="C29" s="24" t="inlineStr">
        <is>
          <t>差值（和 − 封闭环）</t>
        </is>
      </c>
      <c r="D29" s="21" t="n"/>
      <c r="E29" s="25">
        <f>E27-E28</f>
        <v/>
      </c>
      <c r="F29" s="21" t="n"/>
      <c r="G29" s="21" t="n"/>
    </row>
    <row r="30" ht="22" customHeight="1">
      <c r="A30" s="21" t="n"/>
      <c r="B30" s="21" t="n"/>
      <c r="C30" s="22" t="inlineStr">
        <is>
          <t>判定</t>
        </is>
      </c>
      <c r="D30" s="21" t="n"/>
      <c r="E30" s="26">
        <f>IF(ABS(E27-E28)&lt;0.001,"闭合","不闭合")</f>
        <v/>
      </c>
      <c r="F30" s="21" t="n"/>
      <c r="G30" s="21" t="n"/>
    </row>
    <row r="32" ht="22" customHeight="1">
      <c r="A32" s="14" t="inlineStr">
        <is>
          <t>HBM 区铜厚</t>
        </is>
      </c>
    </row>
    <row r="33">
      <c r="A33" s="15" t="inlineStr">
        <is>
          <t>链</t>
        </is>
      </c>
      <c r="B33" s="15" t="inlineStr">
        <is>
          <t>序号</t>
        </is>
      </c>
      <c r="C33" s="15" t="inlineStr">
        <is>
          <t>组成环</t>
        </is>
      </c>
      <c r="D33" s="15" t="inlineStr">
        <is>
          <t>计算式</t>
        </is>
      </c>
      <c r="E33" s="15" t="inlineStr">
        <is>
          <t>数值 / mm</t>
        </is>
      </c>
      <c r="F33" s="15" t="inlineStr">
        <is>
          <t>采用</t>
        </is>
      </c>
      <c r="G33" s="15" t="inlineStr">
        <is>
          <t>说明</t>
        </is>
      </c>
    </row>
    <row r="34" ht="20" customHeight="1">
      <c r="A34" s="6" t="inlineStr">
        <is>
          <t>厚度</t>
        </is>
      </c>
      <c r="B34" s="9" t="n">
        <v>1</v>
      </c>
      <c r="C34" s="6" t="inlineStr">
        <is>
          <t>底铜</t>
        </is>
      </c>
      <c r="D34" s="16" t="inlineStr">
        <is>
          <t>base</t>
        </is>
      </c>
      <c r="E34" s="17">
        <f>base</f>
        <v/>
      </c>
      <c r="F34" s="9" t="inlineStr">
        <is>
          <t>是</t>
        </is>
      </c>
      <c r="G34" s="6" t="inlineStr"/>
    </row>
    <row r="35" ht="20" customHeight="1">
      <c r="A35" s="6" t="inlineStr">
        <is>
          <t>厚度</t>
        </is>
      </c>
      <c r="B35" s="9" t="n">
        <v>2</v>
      </c>
      <c r="C35" s="6" t="inlineStr">
        <is>
          <t>槽深</t>
        </is>
      </c>
      <c r="D35" s="16" t="inlineStr">
        <is>
          <t>ch_h</t>
        </is>
      </c>
      <c r="E35" s="17">
        <f>ch_h</f>
        <v/>
      </c>
      <c r="F35" s="9" t="inlineStr">
        <is>
          <t>是</t>
        </is>
      </c>
      <c r="G35" s="6" t="inlineStr">
        <is>
          <t>槽顶封死</t>
        </is>
      </c>
    </row>
    <row r="36" ht="20" customHeight="1">
      <c r="A36" s="6" t="inlineStr">
        <is>
          <t>厚度</t>
        </is>
      </c>
      <c r="B36" s="9" t="n">
        <v>3</v>
      </c>
      <c r="C36" s="6" t="inlineStr">
        <is>
          <t>上铜板</t>
        </is>
      </c>
      <c r="D36" s="16" t="inlineStr">
        <is>
          <t>lid</t>
        </is>
      </c>
      <c r="E36" s="17">
        <f>lid</f>
        <v/>
      </c>
      <c r="F36" s="9" t="inlineStr">
        <is>
          <t>是</t>
        </is>
      </c>
      <c r="G36" s="6" t="inlineStr">
        <is>
          <t>4.0 mm，留给端部腔的厚度在这块板上</t>
        </is>
      </c>
    </row>
    <row r="37">
      <c r="A37" s="18" t="n"/>
      <c r="B37" s="18" t="n"/>
      <c r="C37" s="19" t="inlineStr">
        <is>
          <t>组成环之和</t>
        </is>
      </c>
      <c r="D37" s="18" t="n"/>
      <c r="E37" s="20">
        <f>SUM(E34:E36)</f>
        <v/>
      </c>
      <c r="F37" s="18" t="n"/>
      <c r="G37" s="18" t="n"/>
    </row>
    <row r="38">
      <c r="A38" s="21" t="n"/>
      <c r="B38" s="21" t="n"/>
      <c r="C38" s="22" t="inlineStr">
        <is>
          <t>封闭环</t>
        </is>
      </c>
      <c r="D38" s="21" t="n"/>
      <c r="E38" s="23">
        <f>plate_hbm</f>
        <v/>
      </c>
      <c r="F38" s="21" t="n"/>
      <c r="G38" s="21" t="n"/>
    </row>
    <row r="39">
      <c r="A39" s="21" t="n"/>
      <c r="B39" s="21" t="n"/>
      <c r="C39" s="24" t="inlineStr">
        <is>
          <t>差值（和 − 封闭环）</t>
        </is>
      </c>
      <c r="D39" s="21" t="n"/>
      <c r="E39" s="25">
        <f>E37-E38</f>
        <v/>
      </c>
      <c r="F39" s="21" t="n"/>
      <c r="G39" s="21" t="n"/>
    </row>
    <row r="40" ht="22" customHeight="1">
      <c r="A40" s="21" t="n"/>
      <c r="B40" s="21" t="n"/>
      <c r="C40" s="22" t="inlineStr">
        <is>
          <t>判定</t>
        </is>
      </c>
      <c r="D40" s="21" t="n"/>
      <c r="E40" s="26">
        <f>IF(ABS(E37-E38)&lt;0.001,"闭合","不闭合")</f>
        <v/>
      </c>
      <c r="F40" s="21" t="n"/>
      <c r="G40" s="21" t="n"/>
    </row>
    <row r="42" ht="22" customHeight="1">
      <c r="A42" s="14" t="inlineStr">
        <is>
          <t>对照：v2.0 表内的 0.60 mm 八槽</t>
        </is>
      </c>
    </row>
    <row r="43">
      <c r="A43" s="15" t="inlineStr">
        <is>
          <t>链</t>
        </is>
      </c>
      <c r="B43" s="15" t="inlineStr">
        <is>
          <t>序号</t>
        </is>
      </c>
      <c r="C43" s="15" t="inlineStr">
        <is>
          <t>组成环</t>
        </is>
      </c>
      <c r="D43" s="15" t="inlineStr">
        <is>
          <t>计算式</t>
        </is>
      </c>
      <c r="E43" s="15" t="inlineStr">
        <is>
          <t>数值 / mm</t>
        </is>
      </c>
      <c r="F43" s="15" t="inlineStr">
        <is>
          <t>采用</t>
        </is>
      </c>
      <c r="G43" s="15" t="inlineStr">
        <is>
          <t>说明</t>
        </is>
      </c>
    </row>
    <row r="44" ht="20" customHeight="1">
      <c r="A44" s="6" t="inlineStr">
        <is>
          <t>对照截面</t>
        </is>
      </c>
      <c r="B44" s="9" t="n">
        <v>1</v>
      </c>
      <c r="C44" s="6" t="inlineStr">
        <is>
          <t>左岸</t>
        </is>
      </c>
      <c r="D44" s="16" t="inlineStr">
        <is>
          <t>land65</t>
        </is>
      </c>
      <c r="E44" s="17">
        <f>land65</f>
        <v/>
      </c>
      <c r="F44" s="27" t="inlineStr">
        <is>
          <t>否</t>
        </is>
      </c>
      <c r="G44" s="6" t="inlineStr">
        <is>
          <t>0.65</t>
        </is>
      </c>
    </row>
    <row r="45" ht="20" customHeight="1">
      <c r="A45" s="6" t="inlineStr">
        <is>
          <t>对照截面</t>
        </is>
      </c>
      <c r="B45" s="9" t="n">
        <v>2</v>
      </c>
      <c r="C45" s="6" t="inlineStr">
        <is>
          <t>8 条槽</t>
        </is>
      </c>
      <c r="D45" s="16" t="inlineStr">
        <is>
          <t>n8*ch60</t>
        </is>
      </c>
      <c r="E45" s="17">
        <f>n8*ch60</f>
        <v/>
      </c>
      <c r="F45" s="27" t="inlineStr">
        <is>
          <t>否</t>
        </is>
      </c>
      <c r="G45" s="6" t="inlineStr">
        <is>
          <t>0.60</t>
        </is>
      </c>
    </row>
    <row r="46" ht="20" customHeight="1">
      <c r="A46" s="6" t="inlineStr">
        <is>
          <t>对照截面</t>
        </is>
      </c>
      <c r="B46" s="9" t="n">
        <v>3</v>
      </c>
      <c r="C46" s="6" t="inlineStr">
        <is>
          <t>7 条肋</t>
        </is>
      </c>
      <c r="D46" s="16" t="inlineStr">
        <is>
          <t>(n8-1)*fin70</t>
        </is>
      </c>
      <c r="E46" s="17">
        <f>(n8-1)*fin70</f>
        <v/>
      </c>
      <c r="F46" s="27" t="inlineStr">
        <is>
          <t>否</t>
        </is>
      </c>
      <c r="G46" s="6" t="inlineStr">
        <is>
          <t>节距 1.30，肋 0.70</t>
        </is>
      </c>
    </row>
    <row r="47" ht="20" customHeight="1">
      <c r="A47" s="6" t="inlineStr">
        <is>
          <t>对照截面</t>
        </is>
      </c>
      <c r="B47" s="9" t="n">
        <v>4</v>
      </c>
      <c r="C47" s="6" t="inlineStr">
        <is>
          <t>右岸</t>
        </is>
      </c>
      <c r="D47" s="16" t="inlineStr">
        <is>
          <t>land65</t>
        </is>
      </c>
      <c r="E47" s="17">
        <f>land65</f>
        <v/>
      </c>
      <c r="F47" s="27" t="inlineStr">
        <is>
          <t>否</t>
        </is>
      </c>
      <c r="G47" s="6" t="inlineStr"/>
    </row>
    <row r="48">
      <c r="A48" s="18" t="n"/>
      <c r="B48" s="18" t="n"/>
      <c r="C48" s="19" t="inlineStr">
        <is>
          <t>组成环之和</t>
        </is>
      </c>
      <c r="D48" s="18" t="n"/>
      <c r="E48" s="20">
        <f>SUM(E44:E47)</f>
        <v/>
      </c>
      <c r="F48" s="18" t="n"/>
      <c r="G48" s="18" t="n"/>
    </row>
    <row r="49">
      <c r="A49" s="21" t="n"/>
      <c r="B49" s="21" t="n"/>
      <c r="C49" s="22" t="inlineStr">
        <is>
          <t>封闭环</t>
        </is>
      </c>
      <c r="D49" s="21" t="n"/>
      <c r="E49" s="23">
        <f>col_w</f>
        <v/>
      </c>
      <c r="F49" s="21" t="n"/>
      <c r="G49" s="21" t="n"/>
    </row>
    <row r="50">
      <c r="A50" s="21" t="n"/>
      <c r="B50" s="21" t="n"/>
      <c r="C50" s="24" t="inlineStr">
        <is>
          <t>差值（和 − 封闭环）</t>
        </is>
      </c>
      <c r="D50" s="21" t="n"/>
      <c r="E50" s="25">
        <f>E48-E49</f>
        <v/>
      </c>
      <c r="F50" s="21" t="n"/>
      <c r="G50" s="21" t="n"/>
    </row>
    <row r="51" ht="22" customHeight="1">
      <c r="A51" s="21" t="n"/>
      <c r="B51" s="21" t="n"/>
      <c r="C51" s="22" t="inlineStr">
        <is>
          <t>判定</t>
        </is>
      </c>
      <c r="D51" s="21" t="n"/>
      <c r="E51" s="26">
        <f>IF(ABS(E48-E49)&lt;0.001,"闭合","不闭合")</f>
        <v/>
      </c>
      <c r="F51" s="21" t="n"/>
      <c r="G51" s="21" t="n"/>
    </row>
    <row r="53" ht="22" customHeight="1">
      <c r="A53" s="14" t="inlineStr">
        <is>
          <t>左列在 GPU 板上的 X 位置链</t>
        </is>
      </c>
    </row>
    <row r="54">
      <c r="A54" s="15" t="inlineStr">
        <is>
          <t>链</t>
        </is>
      </c>
      <c r="B54" s="15" t="inlineStr">
        <is>
          <t>序号</t>
        </is>
      </c>
      <c r="C54" s="15" t="inlineStr">
        <is>
          <t>组成环</t>
        </is>
      </c>
      <c r="D54" s="15" t="inlineStr">
        <is>
          <t>计算式</t>
        </is>
      </c>
      <c r="E54" s="15" t="inlineStr">
        <is>
          <t>数值 / mm</t>
        </is>
      </c>
      <c r="F54" s="15" t="inlineStr">
        <is>
          <t>采用</t>
        </is>
      </c>
      <c r="G54" s="15" t="inlineStr">
        <is>
          <t>说明</t>
        </is>
      </c>
    </row>
    <row r="55" ht="20" customHeight="1">
      <c r="A55" s="6" t="inlineStr">
        <is>
          <t>在板上的X</t>
        </is>
      </c>
      <c r="B55" s="9" t="n">
        <v>1</v>
      </c>
      <c r="C55" s="6" t="inlineStr">
        <is>
          <t>左边距</t>
        </is>
      </c>
      <c r="D55" s="16" t="inlineStr">
        <is>
          <t>margin_x</t>
        </is>
      </c>
      <c r="E55" s="17">
        <f>margin_x</f>
        <v/>
      </c>
      <c r="F55" s="9" t="inlineStr">
        <is>
          <t>是</t>
        </is>
      </c>
      <c r="G55" s="6" t="inlineStr"/>
    </row>
    <row r="56" ht="20" customHeight="1">
      <c r="A56" s="6" t="inlineStr">
        <is>
          <t>在板上的X</t>
        </is>
      </c>
      <c r="B56" s="9" t="n">
        <v>2</v>
      </c>
      <c r="C56" s="6" t="inlineStr">
        <is>
          <t>列宽</t>
        </is>
      </c>
      <c r="D56" s="16" t="inlineStr">
        <is>
          <t>col_w</t>
        </is>
      </c>
      <c r="E56" s="17">
        <f>col_w</f>
        <v/>
      </c>
      <c r="F56" s="9" t="inlineStr">
        <is>
          <t>是</t>
        </is>
      </c>
      <c r="G56" s="6" t="inlineStr"/>
    </row>
    <row r="57" ht="20" customHeight="1">
      <c r="A57" s="6" t="inlineStr">
        <is>
          <t>在板上的X</t>
        </is>
      </c>
      <c r="B57" s="9" t="n">
        <v>3</v>
      </c>
      <c r="C57" s="6" t="inlineStr">
        <is>
          <t>缝</t>
        </is>
      </c>
      <c r="D57" s="16" t="inlineStr">
        <is>
          <t>gap_rib</t>
        </is>
      </c>
      <c r="E57" s="17">
        <f>gap_rib</f>
        <v/>
      </c>
      <c r="F57" s="9" t="inlineStr">
        <is>
          <t>是</t>
        </is>
      </c>
      <c r="G57" s="6" t="inlineStr"/>
    </row>
    <row r="58" ht="20" customHeight="1">
      <c r="A58" s="6" t="inlineStr">
        <is>
          <t>在板上的X</t>
        </is>
      </c>
      <c r="B58" s="9" t="n">
        <v>4</v>
      </c>
      <c r="C58" s="6" t="inlineStr">
        <is>
          <t>肋</t>
        </is>
      </c>
      <c r="D58" s="16" t="inlineStr">
        <is>
          <t>rib_w</t>
        </is>
      </c>
      <c r="E58" s="17">
        <f>rib_w</f>
        <v/>
      </c>
      <c r="F58" s="9" t="inlineStr">
        <is>
          <t>是</t>
        </is>
      </c>
      <c r="G58" s="6" t="inlineStr"/>
    </row>
    <row r="59" ht="20" customHeight="1">
      <c r="A59" s="6" t="inlineStr">
        <is>
          <t>在板上的X</t>
        </is>
      </c>
      <c r="B59" s="9" t="n">
        <v>5</v>
      </c>
      <c r="C59" s="6" t="inlineStr">
        <is>
          <t>缝</t>
        </is>
      </c>
      <c r="D59" s="16" t="inlineStr">
        <is>
          <t>gap_rib</t>
        </is>
      </c>
      <c r="E59" s="17">
        <f>gap_rib</f>
        <v/>
      </c>
      <c r="F59" s="9" t="inlineStr">
        <is>
          <t>是</t>
        </is>
      </c>
      <c r="G59" s="6" t="inlineStr"/>
    </row>
    <row r="60">
      <c r="A60" s="18" t="n"/>
      <c r="B60" s="18" t="n"/>
      <c r="C60" s="19" t="inlineStr">
        <is>
          <t>组成环之和</t>
        </is>
      </c>
      <c r="D60" s="18" t="n"/>
      <c r="E60" s="20">
        <f>SUM(E55:E59)</f>
        <v/>
      </c>
      <c r="F60" s="18" t="n"/>
      <c r="G60" s="18" t="n"/>
    </row>
    <row r="61">
      <c r="A61" s="21" t="n"/>
      <c r="B61" s="21" t="n"/>
      <c r="C61" s="22" t="inlineStr">
        <is>
          <t>封闭环</t>
        </is>
      </c>
      <c r="D61" s="21" t="n"/>
      <c r="E61" s="23">
        <f>die_ax</f>
        <v/>
      </c>
      <c r="F61" s="21" t="n"/>
      <c r="G61" s="21" t="n"/>
    </row>
    <row r="62">
      <c r="A62" s="21" t="n"/>
      <c r="B62" s="21" t="n"/>
      <c r="C62" s="24" t="inlineStr">
        <is>
          <t>差值（和 − 封闭环）</t>
        </is>
      </c>
      <c r="D62" s="21" t="n"/>
      <c r="E62" s="25">
        <f>E60-E61</f>
        <v/>
      </c>
      <c r="F62" s="21" t="n"/>
      <c r="G62" s="21" t="n"/>
    </row>
    <row r="63" ht="22" customHeight="1">
      <c r="A63" s="21" t="n"/>
      <c r="B63" s="21" t="n"/>
      <c r="C63" s="22" t="inlineStr">
        <is>
          <t>判定</t>
        </is>
      </c>
      <c r="D63" s="21" t="n"/>
      <c r="E63" s="26">
        <f>IF(ABS(E60-E61)&lt;0.001,"闭合","不闭合")</f>
        <v/>
      </c>
      <c r="F63" s="21" t="n"/>
      <c r="G63" s="21" t="n"/>
    </row>
    <row r="65" ht="22" customHeight="1">
      <c r="A65" s="14" t="inlineStr">
        <is>
          <t>列在板上的 Y</t>
        </is>
      </c>
    </row>
    <row r="66">
      <c r="A66" s="15" t="inlineStr">
        <is>
          <t>链</t>
        </is>
      </c>
      <c r="B66" s="15" t="inlineStr">
        <is>
          <t>序号</t>
        </is>
      </c>
      <c r="C66" s="15" t="inlineStr">
        <is>
          <t>组成环</t>
        </is>
      </c>
      <c r="D66" s="15" t="inlineStr">
        <is>
          <t>计算式</t>
        </is>
      </c>
      <c r="E66" s="15" t="inlineStr">
        <is>
          <t>数值 / mm</t>
        </is>
      </c>
      <c r="F66" s="15" t="inlineStr">
        <is>
          <t>采用</t>
        </is>
      </c>
      <c r="G66" s="15" t="inlineStr">
        <is>
          <t>说明</t>
        </is>
      </c>
    </row>
    <row r="67" ht="20" customHeight="1">
      <c r="A67" s="6" t="inlineStr">
        <is>
          <t>在板上的Y</t>
        </is>
      </c>
      <c r="B67" s="9" t="n">
        <v>1</v>
      </c>
      <c r="C67" s="6" t="inlineStr">
        <is>
          <t>下边距</t>
        </is>
      </c>
      <c r="D67" s="16" t="inlineStr">
        <is>
          <t>y_end</t>
        </is>
      </c>
      <c r="E67" s="17">
        <f>y_end</f>
        <v/>
      </c>
      <c r="F67" s="9" t="inlineStr">
        <is>
          <t>是</t>
        </is>
      </c>
      <c r="G67" s="6" t="inlineStr"/>
    </row>
    <row r="68" ht="20" customHeight="1">
      <c r="A68" s="6" t="inlineStr">
        <is>
          <t>在板上的Y</t>
        </is>
      </c>
      <c r="B68" s="9" t="n">
        <v>2</v>
      </c>
      <c r="C68" s="6" t="inlineStr">
        <is>
          <t>列长</t>
        </is>
      </c>
      <c r="D68" s="16" t="inlineStr">
        <is>
          <t>col_len</t>
        </is>
      </c>
      <c r="E68" s="17">
        <f>col_len</f>
        <v/>
      </c>
      <c r="F68" s="9" t="inlineStr">
        <is>
          <t>是</t>
        </is>
      </c>
      <c r="G68" s="6" t="inlineStr"/>
    </row>
    <row r="69" ht="20" customHeight="1">
      <c r="A69" s="6" t="inlineStr">
        <is>
          <t>在板上的Y</t>
        </is>
      </c>
      <c r="B69" s="9" t="n">
        <v>3</v>
      </c>
      <c r="C69" s="6" t="inlineStr">
        <is>
          <t>上边距</t>
        </is>
      </c>
      <c r="D69" s="16" t="inlineStr">
        <is>
          <t>y_end</t>
        </is>
      </c>
      <c r="E69" s="17">
        <f>y_end</f>
        <v/>
      </c>
      <c r="F69" s="9" t="inlineStr">
        <is>
          <t>是</t>
        </is>
      </c>
      <c r="G69" s="6" t="inlineStr"/>
    </row>
    <row r="70">
      <c r="A70" s="18" t="n"/>
      <c r="B70" s="18" t="n"/>
      <c r="C70" s="19" t="inlineStr">
        <is>
          <t>组成环之和</t>
        </is>
      </c>
      <c r="D70" s="18" t="n"/>
      <c r="E70" s="20">
        <f>SUM(E67:E69)</f>
        <v/>
      </c>
      <c r="F70" s="18" t="n"/>
      <c r="G70" s="18" t="n"/>
    </row>
    <row r="71">
      <c r="A71" s="21" t="n"/>
      <c r="B71" s="21" t="n"/>
      <c r="C71" s="22" t="inlineStr">
        <is>
          <t>封闭环</t>
        </is>
      </c>
      <c r="D71" s="21" t="n"/>
      <c r="E71" s="23">
        <f>plate_W</f>
        <v/>
      </c>
      <c r="F71" s="21" t="n"/>
      <c r="G71" s="21" t="n"/>
    </row>
    <row r="72">
      <c r="A72" s="21" t="n"/>
      <c r="B72" s="21" t="n"/>
      <c r="C72" s="24" t="inlineStr">
        <is>
          <t>差值（和 − 封闭环）</t>
        </is>
      </c>
      <c r="D72" s="21" t="n"/>
      <c r="E72" s="25">
        <f>E70-E71</f>
        <v/>
      </c>
      <c r="F72" s="21" t="n"/>
      <c r="G72" s="21" t="n"/>
    </row>
    <row r="73" ht="22" customHeight="1">
      <c r="A73" s="21" t="n"/>
      <c r="B73" s="21" t="n"/>
      <c r="C73" s="22" t="inlineStr">
        <is>
          <t>判定</t>
        </is>
      </c>
      <c r="D73" s="21" t="n"/>
      <c r="E73" s="26">
        <f>IF(ABS(E70-E71)&lt;0.001,"闭合","不闭合")</f>
        <v/>
      </c>
      <c r="F73" s="21" t="n"/>
      <c r="G73" s="21" t="n"/>
    </row>
  </sheetData>
  <mergeCells count="9">
    <mergeCell ref="A32:G32"/>
    <mergeCell ref="A1:G1"/>
    <mergeCell ref="A53:G53"/>
    <mergeCell ref="A4:G4"/>
    <mergeCell ref="A24:G24"/>
    <mergeCell ref="A2:G2"/>
    <mergeCell ref="A15:G15"/>
    <mergeCell ref="A65:G65"/>
    <mergeCell ref="A42:G42"/>
  </mergeCells>
  <conditionalFormatting sqref="E13">
    <cfRule type="expression" priority="1" dxfId="0">
      <formula>E13="闭合"</formula>
    </cfRule>
    <cfRule type="expression" priority="2" dxfId="1">
      <formula>E13="不闭合"</formula>
    </cfRule>
  </conditionalFormatting>
  <conditionalFormatting sqref="E22">
    <cfRule type="expression" priority="3" dxfId="0">
      <formula>E22="闭合"</formula>
    </cfRule>
    <cfRule type="expression" priority="4" dxfId="1">
      <formula>E22="不闭合"</formula>
    </cfRule>
  </conditionalFormatting>
  <conditionalFormatting sqref="E30">
    <cfRule type="expression" priority="5" dxfId="0">
      <formula>E30="闭合"</formula>
    </cfRule>
    <cfRule type="expression" priority="6" dxfId="1">
      <formula>E30="不闭合"</formula>
    </cfRule>
  </conditionalFormatting>
  <conditionalFormatting sqref="E40">
    <cfRule type="expression" priority="7" dxfId="0">
      <formula>E40="闭合"</formula>
    </cfRule>
    <cfRule type="expression" priority="8" dxfId="1">
      <formula>E40="不闭合"</formula>
    </cfRule>
  </conditionalFormatting>
  <conditionalFormatting sqref="E51">
    <cfRule type="expression" priority="9" dxfId="0">
      <formula>E51="闭合"</formula>
    </cfRule>
    <cfRule type="expression" priority="10" dxfId="1">
      <formula>E51="不闭合"</formula>
    </cfRule>
  </conditionalFormatting>
  <conditionalFormatting sqref="E63">
    <cfRule type="expression" priority="11" dxfId="0">
      <formula>E63="闭合"</formula>
    </cfRule>
    <cfRule type="expression" priority="12" dxfId="1">
      <formula>E63="不闭合"</formula>
    </cfRule>
  </conditionalFormatting>
  <conditionalFormatting sqref="E73">
    <cfRule type="expression" priority="13" dxfId="0">
      <formula>E73="闭合"</formula>
    </cfRule>
    <cfRule type="expression" priority="14" dxfId="1">
      <formula>E73="不闭合"</formula>
    </cfRule>
  </conditionalFormatting>
  <pageMargins left="0.5" right="0.5" top="0.7" bottom="0.6" header="0.5" footer="0.5"/>
  <pageSetup orientation="landscape" paperSize="9" fitToHeight="0" fitToWidth="1"/>
  <headerFooter>
    <oddHeader>&amp;L尺寸核实2</oddHeader>
    <oddFooter>&amp;CAIDCtms 冷却板  ·  尺寸核实2  ·  2026-09-29&amp;R尺寸核实2  ·  2026-09-29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2026-09-29T00:08:20Z</dcterms:created>
  <dcterms:modified xmlns:dcterms="http://purl.org/dc/terms/" xmlns:xsi="http://www.w3.org/2001/XMLSchema-instance" xsi:type="dcterms:W3CDTF">2026-09-29T00:08:20Z</dcterms:modified>
</cp:coreProperties>
</file>